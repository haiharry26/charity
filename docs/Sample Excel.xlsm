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2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4" rupBuild="21328" codeName="{74837BA0-65D6-932C-5D65-3B800EBDC722}"/>
  <x: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RKaufmann\RLK-SCRA-DCRA Dropbox\K Drive\adm\Financial Scans\Charity\Old Versions of Spreadsheet\"/>
    </mc:Choice>
  </mc:AlternateContent>
  <xr:revisionPtr revIDLastSave="0" documentId="13_ncr:1_{F4C54AFC-2CB6-4C5A-A399-6C3D4A482F44}" xr6:coauthVersionLast="41" xr6:coauthVersionMax="45" xr10:uidLastSave="{00000000-0000-0000-0000-000000000000}"/>
  <x:workbookProtection workbookPassword="CB01" lockStructure="1"/>
  <x:bookViews>
    <x:workbookView xWindow="-120" yWindow="-120" windowWidth="19440" windowHeight="10305" xr2:uid="{00000000-000D-0000-FFFF-FFFF00000000}"/>
  </x:bookViews>
  <x:sheets>
    <x:sheet name="2020" sheetId="1" r:id="rId1"/>
    <x:sheet name="2021" sheetId="32" r:id="rId2"/>
    <x:sheet name="2022" sheetId="31" r:id="rId3"/>
    <x:sheet name="2023" sheetId="30" r:id="rId4"/>
    <x:sheet name="2024" sheetId="29" r:id="rId5"/>
    <x:sheet name="2025" sheetId="28" r:id="rId6"/>
    <x:sheet name="2026" sheetId="27" r:id="rId7"/>
    <x:sheet name="2027" sheetId="26" r:id="rId8"/>
    <x:sheet name="2028" sheetId="25" r:id="rId9"/>
    <x:sheet name="2029" sheetId="24" r:id="rId10"/>
    <x:sheet name="2030" sheetId="33" r:id="rId11"/>
  </x:sheets>
  <x:functionGroups builtInGroupCount="19"/>
  <x:definedNames>
    <x:definedName name="_xlnm._FilterDatabase" localSheetId="0" hidden="1">'2020'!$A$3:$AD$3</x:definedName>
    <x:definedName name="_xlnm._FilterDatabase" localSheetId="1" hidden="1">'2021'!$A$3:$AD$3</x:definedName>
    <x:definedName name="_xlnm._FilterDatabase" localSheetId="2" hidden="1">'2022'!$A$3:$AD$3</x:definedName>
    <x:definedName name="_xlnm._FilterDatabase" localSheetId="3" hidden="1">'2023'!$A$3:$AD$3</x:definedName>
    <x:definedName name="_xlnm._FilterDatabase" localSheetId="4" hidden="1">'2024'!$A$3:$AD$3</x:definedName>
    <x:definedName name="_xlnm._FilterDatabase" localSheetId="5" hidden="1">'2025'!$A$3:$AD$3</x:definedName>
    <x:definedName name="_xlnm._FilterDatabase" localSheetId="6" hidden="1">'2026'!$A$3:$AD$3</x:definedName>
    <x:definedName name="_xlnm._FilterDatabase" localSheetId="7" hidden="1">'2027'!$A$3:$AD$3</x:definedName>
    <x:definedName name="_xlnm._FilterDatabase" localSheetId="8" hidden="1">'2028'!$A$3:$AD$3</x:definedName>
    <x:definedName name="_xlnm._FilterDatabase" localSheetId="9" hidden="1">'2029'!$A$3:$AD$3</x:definedName>
    <x:definedName name="_xlnm._FilterDatabase" localSheetId="10" hidden="1">'2030'!$A$3:$AD$3</x:definedName>
  </x:definedNames>
  <x:calcPr calcId="191029" concurrentCalc="0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calcChain xmlns="http://schemas.openxmlformats.org/spreadsheetml/2006/main">
  <c r="L67" i="1" l="1"/>
  <c r="K80" i="1"/>
  <c r="AB22" i="1"/>
  <c r="K2" i="1"/>
  <c r="L50" i="1"/>
  <c r="L28" i="1"/>
  <c r="L57" i="1"/>
  <c r="AB9" i="1"/>
  <c r="AB6" i="1"/>
  <c r="AB10" i="1"/>
  <c r="AB11" i="1"/>
  <c r="AB12" i="1"/>
  <c r="AB13" i="1"/>
  <c r="AB14" i="1"/>
  <c r="AB15" i="1"/>
  <c r="AB21" i="1"/>
  <c r="AB23" i="1"/>
  <c r="L2" i="1"/>
  <c r="J2" i="1"/>
  <c r="J60" i="33"/>
  <c r="K60" i="33"/>
  <c r="L60" i="33"/>
  <c r="L58" i="33"/>
  <c r="D58" i="33"/>
  <c r="L57" i="33"/>
  <c r="D57" i="33"/>
  <c r="L56" i="33"/>
  <c r="L55" i="33"/>
  <c r="L54" i="33"/>
  <c r="L53" i="33"/>
  <c r="L52" i="33"/>
  <c r="L51" i="33"/>
  <c r="L50" i="33"/>
  <c r="L49" i="33"/>
  <c r="L48" i="33"/>
  <c r="L47" i="33"/>
  <c r="L46" i="33"/>
  <c r="L45" i="33"/>
  <c r="L44" i="33"/>
  <c r="L43" i="33"/>
  <c r="L42" i="33"/>
  <c r="L41" i="33"/>
  <c r="L40" i="33"/>
  <c r="L39" i="33"/>
  <c r="L38" i="33"/>
  <c r="L37" i="33"/>
  <c r="L36" i="33"/>
  <c r="L35" i="33"/>
  <c r="L34" i="33"/>
  <c r="L33" i="33"/>
  <c r="L32" i="33"/>
  <c r="L31" i="33"/>
  <c r="L30" i="33"/>
  <c r="L29" i="33"/>
  <c r="L28" i="33"/>
  <c r="D28" i="33"/>
  <c r="L27" i="33"/>
  <c r="L26" i="33"/>
  <c r="L25" i="33"/>
  <c r="L24" i="33"/>
  <c r="AB22" i="33"/>
  <c r="AB23" i="33"/>
  <c r="L23" i="33"/>
  <c r="L22" i="33"/>
  <c r="D22" i="33"/>
  <c r="L21" i="33"/>
  <c r="AB9" i="33"/>
  <c r="AB6" i="33"/>
  <c r="AB10" i="33"/>
  <c r="AB11" i="33"/>
  <c r="AB12" i="33"/>
  <c r="AB13" i="33"/>
  <c r="AB14" i="33"/>
  <c r="AB15" i="33"/>
  <c r="AB16" i="33"/>
  <c r="AB20" i="33"/>
  <c r="L20" i="33"/>
  <c r="L19" i="33"/>
  <c r="L18" i="33"/>
  <c r="L17" i="33"/>
  <c r="L16" i="33"/>
  <c r="L15" i="33"/>
  <c r="L14" i="33"/>
  <c r="L13" i="33"/>
  <c r="L12" i="33"/>
  <c r="D12" i="33"/>
  <c r="L11" i="33"/>
  <c r="L10" i="33"/>
  <c r="L9" i="33"/>
  <c r="L8" i="33"/>
  <c r="L7" i="33"/>
  <c r="L6" i="33"/>
  <c r="L5" i="33"/>
  <c r="L4" i="33"/>
  <c r="K2" i="33"/>
  <c r="I2" i="33"/>
  <c r="J60" i="32"/>
  <c r="K60" i="32"/>
  <c r="L60" i="32"/>
  <c r="L58" i="32"/>
  <c r="D58" i="32"/>
  <c r="L57" i="32"/>
  <c r="D57" i="32"/>
  <c r="L56" i="32"/>
  <c r="L55" i="32"/>
  <c r="L54" i="32"/>
  <c r="L53" i="32"/>
  <c r="L52" i="32"/>
  <c r="L51" i="32"/>
  <c r="L50" i="32"/>
  <c r="L49" i="32"/>
  <c r="L48" i="32"/>
  <c r="L47" i="32"/>
  <c r="L46" i="32"/>
  <c r="L45" i="32"/>
  <c r="L44" i="32"/>
  <c r="L43" i="32"/>
  <c r="L42" i="32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D28" i="32"/>
  <c r="L27" i="32"/>
  <c r="L26" i="32"/>
  <c r="L25" i="32"/>
  <c r="L24" i="32"/>
  <c r="AB22" i="32"/>
  <c r="AB23" i="32"/>
  <c r="L23" i="32"/>
  <c r="L22" i="32"/>
  <c r="D22" i="32"/>
  <c r="L21" i="32"/>
  <c r="AB9" i="32"/>
  <c r="AB6" i="32"/>
  <c r="AB10" i="32"/>
  <c r="AB11" i="32"/>
  <c r="AB12" i="32"/>
  <c r="AB13" i="32"/>
  <c r="AB14" i="32"/>
  <c r="AB15" i="32"/>
  <c r="AB16" i="32"/>
  <c r="AB20" i="32"/>
  <c r="L20" i="32"/>
  <c r="L19" i="32"/>
  <c r="L18" i="32"/>
  <c r="L17" i="32"/>
  <c r="L16" i="32"/>
  <c r="L15" i="32"/>
  <c r="L14" i="32"/>
  <c r="L13" i="32"/>
  <c r="L12" i="32"/>
  <c r="D12" i="32"/>
  <c r="L11" i="32"/>
  <c r="L10" i="32"/>
  <c r="L9" i="32"/>
  <c r="L8" i="32"/>
  <c r="L7" i="32"/>
  <c r="L6" i="32"/>
  <c r="L5" i="32"/>
  <c r="L4" i="32"/>
  <c r="K2" i="32"/>
  <c r="I2" i="32"/>
  <c r="J60" i="31"/>
  <c r="K60" i="31"/>
  <c r="L60" i="31"/>
  <c r="L58" i="31"/>
  <c r="D58" i="31"/>
  <c r="L57" i="31"/>
  <c r="D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D28" i="31"/>
  <c r="L27" i="31"/>
  <c r="L26" i="31"/>
  <c r="L25" i="31"/>
  <c r="L24" i="31"/>
  <c r="AB22" i="31"/>
  <c r="AB23" i="31"/>
  <c r="L23" i="31"/>
  <c r="L22" i="31"/>
  <c r="D22" i="31"/>
  <c r="L21" i="31"/>
  <c r="AB9" i="31"/>
  <c r="AB6" i="31"/>
  <c r="AB10" i="31"/>
  <c r="AB11" i="31"/>
  <c r="AB12" i="31"/>
  <c r="AB13" i="31"/>
  <c r="AB14" i="31"/>
  <c r="AB15" i="31"/>
  <c r="AB16" i="31"/>
  <c r="AB20" i="31"/>
  <c r="L20" i="31"/>
  <c r="L19" i="31"/>
  <c r="L18" i="31"/>
  <c r="L17" i="31"/>
  <c r="L16" i="31"/>
  <c r="L15" i="31"/>
  <c r="L14" i="31"/>
  <c r="L13" i="31"/>
  <c r="L12" i="31"/>
  <c r="D12" i="31"/>
  <c r="L11" i="31"/>
  <c r="L10" i="31"/>
  <c r="L9" i="31"/>
  <c r="L8" i="31"/>
  <c r="L7" i="31"/>
  <c r="L6" i="31"/>
  <c r="L5" i="31"/>
  <c r="L4" i="31"/>
  <c r="K2" i="31"/>
  <c r="I2" i="31"/>
  <c r="J60" i="30"/>
  <c r="K60" i="30"/>
  <c r="L60" i="30"/>
  <c r="L58" i="30"/>
  <c r="D58" i="30"/>
  <c r="L57" i="30"/>
  <c r="D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D28" i="30"/>
  <c r="L27" i="30"/>
  <c r="L26" i="30"/>
  <c r="L25" i="30"/>
  <c r="L24" i="30"/>
  <c r="AB22" i="30"/>
  <c r="AB23" i="30"/>
  <c r="L23" i="30"/>
  <c r="L22" i="30"/>
  <c r="D22" i="30"/>
  <c r="L21" i="30"/>
  <c r="AB9" i="30"/>
  <c r="AB6" i="30"/>
  <c r="AB10" i="30"/>
  <c r="AB11" i="30"/>
  <c r="AB12" i="30"/>
  <c r="AB13" i="30"/>
  <c r="AB14" i="30"/>
  <c r="AB15" i="30"/>
  <c r="AB16" i="30"/>
  <c r="AB20" i="30"/>
  <c r="L20" i="30"/>
  <c r="L19" i="30"/>
  <c r="L18" i="30"/>
  <c r="L17" i="30"/>
  <c r="L16" i="30"/>
  <c r="L15" i="30"/>
  <c r="L14" i="30"/>
  <c r="L13" i="30"/>
  <c r="L12" i="30"/>
  <c r="D12" i="30"/>
  <c r="L11" i="30"/>
  <c r="L10" i="30"/>
  <c r="L9" i="30"/>
  <c r="L8" i="30"/>
  <c r="L7" i="30"/>
  <c r="L6" i="30"/>
  <c r="L5" i="30"/>
  <c r="L4" i="30"/>
  <c r="K2" i="30"/>
  <c r="I2" i="30"/>
  <c r="J60" i="29"/>
  <c r="K60" i="29"/>
  <c r="L60" i="29"/>
  <c r="L58" i="29"/>
  <c r="D58" i="29"/>
  <c r="L57" i="29"/>
  <c r="D57" i="29"/>
  <c r="L56" i="29"/>
  <c r="L55" i="29"/>
  <c r="L54" i="29"/>
  <c r="L53" i="29"/>
  <c r="L52" i="29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7" i="29"/>
  <c r="L36" i="29"/>
  <c r="L35" i="29"/>
  <c r="L34" i="29"/>
  <c r="L33" i="29"/>
  <c r="L32" i="29"/>
  <c r="L31" i="29"/>
  <c r="L30" i="29"/>
  <c r="L29" i="29"/>
  <c r="L28" i="29"/>
  <c r="D28" i="29"/>
  <c r="L27" i="29"/>
  <c r="L26" i="29"/>
  <c r="L25" i="29"/>
  <c r="L24" i="29"/>
  <c r="AB22" i="29"/>
  <c r="AB23" i="29"/>
  <c r="L23" i="29"/>
  <c r="L22" i="29"/>
  <c r="D22" i="29"/>
  <c r="L21" i="29"/>
  <c r="AB9" i="29"/>
  <c r="AB6" i="29"/>
  <c r="AB10" i="29"/>
  <c r="AB11" i="29"/>
  <c r="AB12" i="29"/>
  <c r="AB13" i="29"/>
  <c r="AB14" i="29"/>
  <c r="AB15" i="29"/>
  <c r="AB16" i="29"/>
  <c r="AB20" i="29"/>
  <c r="L20" i="29"/>
  <c r="L19" i="29"/>
  <c r="L18" i="29"/>
  <c r="L17" i="29"/>
  <c r="L16" i="29"/>
  <c r="L15" i="29"/>
  <c r="L14" i="29"/>
  <c r="L13" i="29"/>
  <c r="L12" i="29"/>
  <c r="D12" i="29"/>
  <c r="L11" i="29"/>
  <c r="L10" i="29"/>
  <c r="L9" i="29"/>
  <c r="L8" i="29"/>
  <c r="L7" i="29"/>
  <c r="L6" i="29"/>
  <c r="L5" i="29"/>
  <c r="L4" i="29"/>
  <c r="K2" i="29"/>
  <c r="I2" i="29"/>
  <c r="J60" i="28"/>
  <c r="K60" i="28"/>
  <c r="L60" i="28"/>
  <c r="L58" i="28"/>
  <c r="D58" i="28"/>
  <c r="L57" i="28"/>
  <c r="D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D28" i="28"/>
  <c r="L27" i="28"/>
  <c r="L26" i="28"/>
  <c r="L25" i="28"/>
  <c r="L24" i="28"/>
  <c r="AB22" i="28"/>
  <c r="AB23" i="28"/>
  <c r="L23" i="28"/>
  <c r="L22" i="28"/>
  <c r="D22" i="28"/>
  <c r="L21" i="28"/>
  <c r="AB9" i="28"/>
  <c r="AB6" i="28"/>
  <c r="AB10" i="28"/>
  <c r="AB11" i="28"/>
  <c r="AB12" i="28"/>
  <c r="AB13" i="28"/>
  <c r="AB14" i="28"/>
  <c r="AB15" i="28"/>
  <c r="AB16" i="28"/>
  <c r="AB20" i="28"/>
  <c r="L20" i="28"/>
  <c r="L19" i="28"/>
  <c r="L18" i="28"/>
  <c r="L17" i="28"/>
  <c r="L16" i="28"/>
  <c r="L15" i="28"/>
  <c r="L14" i="28"/>
  <c r="L13" i="28"/>
  <c r="L12" i="28"/>
  <c r="D12" i="28"/>
  <c r="L11" i="28"/>
  <c r="L10" i="28"/>
  <c r="L9" i="28"/>
  <c r="L8" i="28"/>
  <c r="L7" i="28"/>
  <c r="L6" i="28"/>
  <c r="L5" i="28"/>
  <c r="L4" i="28"/>
  <c r="K2" i="28"/>
  <c r="I2" i="28"/>
  <c r="J60" i="27"/>
  <c r="K60" i="27"/>
  <c r="L60" i="27"/>
  <c r="L58" i="27"/>
  <c r="D58" i="27"/>
  <c r="L57" i="27"/>
  <c r="D57" i="27"/>
  <c r="L56" i="27"/>
  <c r="L55" i="27"/>
  <c r="L54" i="27"/>
  <c r="L53" i="27"/>
  <c r="L52" i="27"/>
  <c r="L51" i="27"/>
  <c r="L50" i="27"/>
  <c r="L49" i="27"/>
  <c r="L48" i="27"/>
  <c r="L47" i="27"/>
  <c r="L46" i="27"/>
  <c r="L45" i="27"/>
  <c r="L44" i="27"/>
  <c r="L43" i="27"/>
  <c r="L42" i="27"/>
  <c r="L41" i="27"/>
  <c r="L40" i="27"/>
  <c r="L39" i="27"/>
  <c r="L38" i="27"/>
  <c r="L37" i="27"/>
  <c r="L36" i="27"/>
  <c r="L35" i="27"/>
  <c r="L34" i="27"/>
  <c r="L33" i="27"/>
  <c r="L32" i="27"/>
  <c r="L31" i="27"/>
  <c r="L30" i="27"/>
  <c r="L29" i="27"/>
  <c r="L28" i="27"/>
  <c r="D28" i="27"/>
  <c r="L27" i="27"/>
  <c r="L26" i="27"/>
  <c r="L25" i="27"/>
  <c r="L24" i="27"/>
  <c r="AB22" i="27"/>
  <c r="AB23" i="27"/>
  <c r="L23" i="27"/>
  <c r="L22" i="27"/>
  <c r="D22" i="27"/>
  <c r="L21" i="27"/>
  <c r="AB9" i="27"/>
  <c r="AB6" i="27"/>
  <c r="AB10" i="27"/>
  <c r="AB11" i="27"/>
  <c r="AB12" i="27"/>
  <c r="AB13" i="27"/>
  <c r="AB14" i="27"/>
  <c r="AB15" i="27"/>
  <c r="AB16" i="27"/>
  <c r="AB20" i="27"/>
  <c r="L20" i="27"/>
  <c r="L19" i="27"/>
  <c r="L18" i="27"/>
  <c r="L17" i="27"/>
  <c r="L16" i="27"/>
  <c r="L15" i="27"/>
  <c r="L14" i="27"/>
  <c r="L13" i="27"/>
  <c r="L12" i="27"/>
  <c r="D12" i="27"/>
  <c r="L11" i="27"/>
  <c r="L10" i="27"/>
  <c r="L9" i="27"/>
  <c r="L8" i="27"/>
  <c r="L7" i="27"/>
  <c r="L6" i="27"/>
  <c r="L5" i="27"/>
  <c r="L4" i="27"/>
  <c r="K2" i="27"/>
  <c r="I2" i="27"/>
  <c r="J60" i="26"/>
  <c r="K60" i="26"/>
  <c r="L60" i="26"/>
  <c r="L58" i="26"/>
  <c r="D58" i="26"/>
  <c r="L57" i="26"/>
  <c r="D57" i="26"/>
  <c r="L56" i="26"/>
  <c r="L55" i="26"/>
  <c r="L54" i="26"/>
  <c r="L53" i="26"/>
  <c r="L52" i="26"/>
  <c r="L51" i="26"/>
  <c r="L50" i="26"/>
  <c r="L49" i="26"/>
  <c r="L48" i="26"/>
  <c r="L47" i="26"/>
  <c r="L46" i="26"/>
  <c r="L45" i="26"/>
  <c r="L44" i="26"/>
  <c r="L43" i="26"/>
  <c r="L42" i="26"/>
  <c r="L41" i="26"/>
  <c r="L40" i="26"/>
  <c r="L39" i="26"/>
  <c r="L38" i="26"/>
  <c r="L37" i="26"/>
  <c r="L36" i="26"/>
  <c r="L35" i="26"/>
  <c r="L34" i="26"/>
  <c r="L33" i="26"/>
  <c r="L32" i="26"/>
  <c r="L31" i="26"/>
  <c r="L30" i="26"/>
  <c r="L29" i="26"/>
  <c r="L28" i="26"/>
  <c r="D28" i="26"/>
  <c r="L27" i="26"/>
  <c r="L26" i="26"/>
  <c r="L25" i="26"/>
  <c r="L24" i="26"/>
  <c r="AB22" i="26"/>
  <c r="AB23" i="26"/>
  <c r="L23" i="26"/>
  <c r="L22" i="26"/>
  <c r="D22" i="26"/>
  <c r="L21" i="26"/>
  <c r="AB9" i="26"/>
  <c r="AB6" i="26"/>
  <c r="AB10" i="26"/>
  <c r="AB11" i="26"/>
  <c r="AB12" i="26"/>
  <c r="AB13" i="26"/>
  <c r="AB14" i="26"/>
  <c r="AB15" i="26"/>
  <c r="AB16" i="26"/>
  <c r="AB20" i="26"/>
  <c r="L20" i="26"/>
  <c r="L19" i="26"/>
  <c r="L18" i="26"/>
  <c r="L17" i="26"/>
  <c r="L16" i="26"/>
  <c r="L15" i="26"/>
  <c r="L14" i="26"/>
  <c r="L13" i="26"/>
  <c r="L12" i="26"/>
  <c r="D12" i="26"/>
  <c r="L11" i="26"/>
  <c r="L10" i="26"/>
  <c r="L9" i="26"/>
  <c r="L8" i="26"/>
  <c r="L7" i="26"/>
  <c r="L6" i="26"/>
  <c r="L5" i="26"/>
  <c r="L4" i="26"/>
  <c r="K2" i="26"/>
  <c r="I2" i="26"/>
  <c r="J60" i="25"/>
  <c r="K60" i="25"/>
  <c r="L60" i="25"/>
  <c r="L58" i="25"/>
  <c r="D58" i="25"/>
  <c r="L57" i="25"/>
  <c r="D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D28" i="25"/>
  <c r="L27" i="25"/>
  <c r="L26" i="25"/>
  <c r="L25" i="25"/>
  <c r="L24" i="25"/>
  <c r="AB22" i="25"/>
  <c r="AB23" i="25"/>
  <c r="L23" i="25"/>
  <c r="L22" i="25"/>
  <c r="D22" i="25"/>
  <c r="L21" i="25"/>
  <c r="AB9" i="25"/>
  <c r="AB6" i="25"/>
  <c r="AB10" i="25"/>
  <c r="AB11" i="25"/>
  <c r="AB12" i="25"/>
  <c r="AB13" i="25"/>
  <c r="AB14" i="25"/>
  <c r="AB15" i="25"/>
  <c r="AB16" i="25"/>
  <c r="AB20" i="25"/>
  <c r="L20" i="25"/>
  <c r="L19" i="25"/>
  <c r="L18" i="25"/>
  <c r="L17" i="25"/>
  <c r="L16" i="25"/>
  <c r="L15" i="25"/>
  <c r="L14" i="25"/>
  <c r="L13" i="25"/>
  <c r="L12" i="25"/>
  <c r="D12" i="25"/>
  <c r="L11" i="25"/>
  <c r="L10" i="25"/>
  <c r="L9" i="25"/>
  <c r="L8" i="25"/>
  <c r="L7" i="25"/>
  <c r="L6" i="25"/>
  <c r="L5" i="25"/>
  <c r="L4" i="25"/>
  <c r="K2" i="25"/>
  <c r="I2" i="25"/>
  <c r="J60" i="24"/>
  <c r="K60" i="24"/>
  <c r="L60" i="24"/>
  <c r="L58" i="24"/>
  <c r="D58" i="24"/>
  <c r="L57" i="24"/>
  <c r="D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D28" i="24"/>
  <c r="L27" i="24"/>
  <c r="L26" i="24"/>
  <c r="L25" i="24"/>
  <c r="L24" i="24"/>
  <c r="AB22" i="24"/>
  <c r="AB23" i="24"/>
  <c r="L23" i="24"/>
  <c r="L22" i="24"/>
  <c r="D22" i="24"/>
  <c r="L21" i="24"/>
  <c r="AB9" i="24"/>
  <c r="AB6" i="24"/>
  <c r="AB10" i="24"/>
  <c r="AB11" i="24"/>
  <c r="AB12" i="24"/>
  <c r="AB13" i="24"/>
  <c r="AB14" i="24"/>
  <c r="AB15" i="24"/>
  <c r="AB16" i="24"/>
  <c r="AB20" i="24"/>
  <c r="L20" i="24"/>
  <c r="L19" i="24"/>
  <c r="L18" i="24"/>
  <c r="L17" i="24"/>
  <c r="L16" i="24"/>
  <c r="L15" i="24"/>
  <c r="L14" i="24"/>
  <c r="L13" i="24"/>
  <c r="L12" i="24"/>
  <c r="D12" i="24"/>
  <c r="L11" i="24"/>
  <c r="L10" i="24"/>
  <c r="L9" i="24"/>
  <c r="L8" i="24"/>
  <c r="L7" i="24"/>
  <c r="L6" i="24"/>
  <c r="L5" i="24"/>
  <c r="L4" i="24"/>
  <c r="K2" i="24"/>
  <c r="I2" i="24"/>
  <c r="D65" i="1"/>
  <c r="D30" i="1"/>
  <c r="D22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7" i="1"/>
  <c r="L48" i="1"/>
  <c r="L49" i="1"/>
  <c r="L52" i="1"/>
  <c r="L54" i="1"/>
  <c r="L55" i="1"/>
  <c r="L56" i="1"/>
  <c r="L59" i="1"/>
  <c r="L60" i="1"/>
  <c r="L61" i="1"/>
  <c r="L62" i="1"/>
  <c r="L63" i="1"/>
  <c r="L64" i="1"/>
  <c r="L65" i="1"/>
  <c r="L66" i="1"/>
  <c r="L4" i="1"/>
</calcChain>
</file>

<file path=xl/sharedStrings2.xml><?xml version="1.0" encoding="utf-8"?>
<sst xmlns="http://schemas.openxmlformats.org/spreadsheetml/2006/main">
  <si>
    <t>KTPSF 2020</t>
  </si>
  <si>
    <t>Description</t>
  </si>
  <si>
    <t>Amount</t>
  </si>
  <si>
    <t>Remarks</t>
  </si>
  <si>
    <t>Charity</t>
  </si>
  <si>
    <t>EIN</t>
  </si>
  <si>
    <t>Full Contact Name</t>
  </si>
  <si>
    <t>Dear Whom?</t>
  </si>
  <si>
    <t>Address Line 1</t>
  </si>
  <si>
    <t>Address Line 2</t>
  </si>
  <si>
    <t>City/State</t>
  </si>
  <si>
    <t>Post Code</t>
  </si>
  <si>
    <t>CC</t>
  </si>
  <si>
    <t>Last Yr or Suggested Amount</t>
  </si>
  <si>
    <t>To be Sent</t>
  </si>
  <si>
    <t>Amount in words</t>
  </si>
  <si>
    <t>Check Date</t>
  </si>
  <si>
    <t>Paid via CC?</t>
  </si>
  <si>
    <t xml:space="preserve">Paid from </t>
  </si>
  <si>
    <t>IRS OK?</t>
  </si>
  <si>
    <t>Receipt Received by AR from DP</t>
  </si>
  <si>
    <t>Receipt Filed in Quicken by AR</t>
  </si>
  <si>
    <t>at the direction of</t>
  </si>
  <si>
    <t>Direction of</t>
  </si>
  <si>
    <t>Form Name</t>
  </si>
  <si>
    <t>Last Years Target</t>
  </si>
  <si>
    <t>g2</t>
  </si>
  <si>
    <t>African American Cultural Collaborative of Mercer County</t>
  </si>
  <si>
    <t>47-2589424</t>
  </si>
  <si>
    <t xml:space="preserve"> Ms. Latasha Burke, Executive Director</t>
  </si>
  <si>
    <t>Ms. Burke</t>
  </si>
  <si>
    <t>20 South Montgomery Street</t>
  </si>
  <si>
    <t>P.O. Box 144</t>
  </si>
  <si>
    <t>Trenton, N.J.</t>
  </si>
  <si>
    <t>08608</t>
  </si>
  <si>
    <t>Allison Dixon (via email)</t>
  </si>
  <si>
    <t>Kyle Todd Public Service Foundation</t>
  </si>
  <si>
    <t>yes</t>
  </si>
  <si>
    <t>x</t>
  </si>
  <si>
    <t xml:space="preserve">at the direction of Todd E. Harper, the Foundation's President, </t>
  </si>
  <si>
    <t>KTPSF  4. Current Year</t>
  </si>
  <si>
    <t>input</t>
  </si>
  <si>
    <t>American Refugee Committee</t>
  </si>
  <si>
    <t>36-3241033</t>
  </si>
  <si>
    <t>Mr. Daniel Wordsworth, President and CEO</t>
  </si>
  <si>
    <t>Mr. Wordsworth</t>
  </si>
  <si>
    <t>615 First Avenue, NE, Suite 500</t>
  </si>
  <si>
    <t>Washington, DC</t>
  </si>
  <si>
    <t>20037</t>
  </si>
  <si>
    <t>Annapolis Elks</t>
  </si>
  <si>
    <t>Anne Arundel County Foster Parents Association</t>
  </si>
  <si>
    <t>52-1696809</t>
  </si>
  <si>
    <t>Ms. Katie Fitzsimmons, President</t>
  </si>
  <si>
    <t>Ms. Fitzsimmons</t>
  </si>
  <si>
    <t>P.O. Box 494</t>
  </si>
  <si>
    <t>Riva, MD</t>
  </si>
  <si>
    <t>21140-0494</t>
  </si>
  <si>
    <t>Bethesda Chevy Chase Rescue Squad Inc.</t>
  </si>
  <si>
    <t>52-0583872</t>
  </si>
  <si>
    <t>Mr. Ned Sherburne</t>
  </si>
  <si>
    <t>Mr. Sherburne</t>
  </si>
  <si>
    <t>5020 Battery Lane</t>
  </si>
  <si>
    <t>Bethesda, MD</t>
  </si>
  <si>
    <t>20814</t>
  </si>
  <si>
    <t>Bradley Hills Pres Church - Friends Club</t>
  </si>
  <si>
    <t>Brooke Kenney, Executive Director Friends Club</t>
  </si>
  <si>
    <t>Ms. Kenney</t>
  </si>
  <si>
    <t>6601 Bradley Boulevard</t>
  </si>
  <si>
    <t>Bradley Hills Presbyterian Church</t>
  </si>
  <si>
    <t>Breathe DC</t>
  </si>
  <si>
    <t>27-3628781</t>
  </si>
  <si>
    <t>Mr. Rolando A. Andrewn</t>
  </si>
  <si>
    <t>Mr. Andrewn</t>
  </si>
  <si>
    <t>1310 Southern Avenue, SE</t>
  </si>
  <si>
    <t>20032</t>
  </si>
  <si>
    <t>Less: 1.5% Cash Adjustment</t>
  </si>
  <si>
    <t>Center of Help Inc.</t>
  </si>
  <si>
    <t>52-2282782</t>
  </si>
  <si>
    <t>Kirsten Clark</t>
  </si>
  <si>
    <t>Ms. Clark</t>
  </si>
  <si>
    <t>1906 Forest Drive 2A</t>
  </si>
  <si>
    <t>Annapolis, MD</t>
  </si>
  <si>
    <t>Chesapeake Bay Foundation Inc</t>
  </si>
  <si>
    <t>52-6065757</t>
  </si>
  <si>
    <t>X 5% Min Dist</t>
  </si>
  <si>
    <t>Chesapeake Christian Fellowship, Inc.</t>
  </si>
  <si>
    <t>52-1870007</t>
  </si>
  <si>
    <t>James A. Packett</t>
  </si>
  <si>
    <t>Mr. Packett</t>
  </si>
  <si>
    <t>377 West Central Avenue</t>
  </si>
  <si>
    <t>Davidson, MD</t>
  </si>
  <si>
    <t>Childrens Corrective Surgery Society</t>
  </si>
  <si>
    <t>95-3477397</t>
  </si>
  <si>
    <t>Mr. John Martin, President &amp; CEO</t>
  </si>
  <si>
    <t>Mr. Martin</t>
  </si>
  <si>
    <t>P.O. Box 500578</t>
  </si>
  <si>
    <t>San Diego, CA</t>
  </si>
  <si>
    <t>92150-0578</t>
  </si>
  <si>
    <t>Childrens Inn at NIH Inc.</t>
  </si>
  <si>
    <t>52-1638207</t>
  </si>
  <si>
    <t>Ms. Jean Buergler, Director of Finance</t>
  </si>
  <si>
    <t>Ms. Buergler</t>
  </si>
  <si>
    <t>7 West Drive</t>
  </si>
  <si>
    <t>Medecins Sans Frontiers USA Inc.</t>
  </si>
  <si>
    <t>13-3433452</t>
  </si>
  <si>
    <t>Ms. Jennifer Lessard</t>
  </si>
  <si>
    <t>Ms. Lessard</t>
  </si>
  <si>
    <t>40 Rector Street, 16th Floor</t>
  </si>
  <si>
    <t>New York, NY</t>
  </si>
  <si>
    <t>10006-1705</t>
  </si>
  <si>
    <t>Donnie Neuenberger Foundation</t>
  </si>
  <si>
    <t>27-3126328</t>
  </si>
  <si>
    <t>Mr. Donnie Neuenberger</t>
  </si>
  <si>
    <t>Mr. Neuenberger</t>
  </si>
  <si>
    <t>4245 Kings Road</t>
  </si>
  <si>
    <t>Edgewater, MD</t>
  </si>
  <si>
    <t>21037</t>
  </si>
  <si>
    <t>Desired Excess cushion</t>
  </si>
  <si>
    <t xml:space="preserve">Evergreen School Inc </t>
  </si>
  <si>
    <t>52-1255493</t>
  </si>
  <si>
    <t>Mr. John DeMarchi</t>
  </si>
  <si>
    <t>Mr. DeMarchi</t>
  </si>
  <si>
    <t>10700 Georgia Avenue</t>
  </si>
  <si>
    <t>Silver Spring, MD</t>
  </si>
  <si>
    <t>20902</t>
  </si>
  <si>
    <t>Exodus Refugee Immigration Inc.</t>
  </si>
  <si>
    <t>35-1900090</t>
  </si>
  <si>
    <t>Mr. Cole Varga, Executive Director</t>
  </si>
  <si>
    <t>Mr. Varga</t>
  </si>
  <si>
    <t>2457 E Washington Street, Suite A</t>
  </si>
  <si>
    <t>Indianapolis, IN</t>
  </si>
  <si>
    <t>46201</t>
  </si>
  <si>
    <t>Fabretto Childrens Foundation Inc.</t>
  </si>
  <si>
    <t>36-3894824</t>
  </si>
  <si>
    <t>Ms. Allison DeCruz</t>
  </si>
  <si>
    <t>Ms. DeCruz</t>
  </si>
  <si>
    <t>1536 Sherman Avenue</t>
  </si>
  <si>
    <t>Evanston, IL</t>
  </si>
  <si>
    <t>60201</t>
  </si>
  <si>
    <t>Less: YTD Grants made</t>
  </si>
  <si>
    <t>h2</t>
  </si>
  <si>
    <t>Family Matters of Greater Washington</t>
  </si>
  <si>
    <t>i2</t>
  </si>
  <si>
    <t>Faucette Township Volunteer Fire Deptment Inc.</t>
  </si>
  <si>
    <t>56-1286450</t>
  </si>
  <si>
    <t>Andrew Corbett</t>
  </si>
  <si>
    <t>2164 Carolina Road</t>
  </si>
  <si>
    <t>Burlington, NC</t>
  </si>
  <si>
    <t>Food &amp; Friends Inc.</t>
  </si>
  <si>
    <t>52-1648941</t>
  </si>
  <si>
    <t>Mr. George Bednar, CFO</t>
  </si>
  <si>
    <t>Mr. Bednar</t>
  </si>
  <si>
    <t>219 Riggs Road, NE</t>
  </si>
  <si>
    <t>20011</t>
  </si>
  <si>
    <t>Foundation Fighting Blindness Inc.</t>
  </si>
  <si>
    <t>23-7135845</t>
  </si>
  <si>
    <t>Ms. Annette Hinkle, Chief Finance Officer</t>
  </si>
  <si>
    <t>Ms. Hinkle</t>
  </si>
  <si>
    <t>7168 Columbia Gateway Drive, Suite 100</t>
  </si>
  <si>
    <t>Columbia, MD</t>
  </si>
  <si>
    <t>21046-3256</t>
  </si>
  <si>
    <t>Friends of Linda L. Kelley Animal Shelter</t>
  </si>
  <si>
    <t>83-2219653</t>
  </si>
  <si>
    <t>Ms. Laurel M. Matthews, President</t>
  </si>
  <si>
    <t>Ms. Matthews</t>
  </si>
  <si>
    <t>P.O. Box 143</t>
  </si>
  <si>
    <t>Sunderland, MD</t>
  </si>
  <si>
    <t>20689</t>
  </si>
  <si>
    <t>no</t>
  </si>
  <si>
    <t>Golden Gate Audubon Society Inc.</t>
  </si>
  <si>
    <t>94-6086896</t>
  </si>
  <si>
    <t>Ms. Cindy Margulis, Executive Director</t>
  </si>
  <si>
    <t>Ms. Margulis</t>
  </si>
  <si>
    <t>2530 San Pablo Avenue, Suite G</t>
  </si>
  <si>
    <t>Berkeley, CA</t>
  </si>
  <si>
    <t>94702</t>
  </si>
  <si>
    <t>Gullotta House</t>
  </si>
  <si>
    <t>47-4132500</t>
  </si>
  <si>
    <t>Mr. Matthew Gullotta, President and CEO</t>
  </si>
  <si>
    <t>Mr. Gullotta</t>
  </si>
  <si>
    <t>72 N State Road, #175</t>
  </si>
  <si>
    <t>Briarcliff Manor, NY</t>
  </si>
  <si>
    <t>10510</t>
  </si>
  <si>
    <t>HIAS Inc.</t>
  </si>
  <si>
    <t>13-5633307</t>
  </si>
  <si>
    <t>Hope House Foundation Inc.</t>
  </si>
  <si>
    <t>20-0923763</t>
  </si>
  <si>
    <t>Elena Montello</t>
  </si>
  <si>
    <t>Ms. Montello</t>
  </si>
  <si>
    <t>801 Boush Street, Ste. 302</t>
  </si>
  <si>
    <t>Norfolk, VA</t>
  </si>
  <si>
    <t>Hopes to Reality Org</t>
  </si>
  <si>
    <t>81-0840140</t>
  </si>
  <si>
    <t>Ms. Lesley Hicks, President/Founder</t>
  </si>
  <si>
    <t>Ms. Hicks</t>
  </si>
  <si>
    <t>1314 E Las Olas Boulevard, # 1144</t>
  </si>
  <si>
    <t>Fort Lauderdale, FL</t>
  </si>
  <si>
    <t>Ifodecade - wire transfer</t>
  </si>
  <si>
    <t>Ms. Wendy Castillo</t>
  </si>
  <si>
    <t>Ms. Castillo</t>
  </si>
  <si>
    <t xml:space="preserve">Jr. Los Libertadores 308, Barrio de Centenario, Distrito de Indpendencia, Provincia de Huaraz </t>
  </si>
  <si>
    <t>Departamento, de Ancash</t>
  </si>
  <si>
    <t>Peru</t>
  </si>
  <si>
    <t>International Community Foundation</t>
  </si>
  <si>
    <t>33-0457858</t>
  </si>
  <si>
    <t>Ms. Anne McEnany, President &amp; CEO</t>
  </si>
  <si>
    <t>Ms. McEnany</t>
  </si>
  <si>
    <t>2505 N. Avenue</t>
  </si>
  <si>
    <t>National City, CA</t>
  </si>
  <si>
    <t>91950</t>
  </si>
  <si>
    <t>International Rescue Committee Inc. (American Refugee per RLK)</t>
  </si>
  <si>
    <t>13-5660870</t>
  </si>
  <si>
    <t>Mr. David Miliband, President and CEO</t>
  </si>
  <si>
    <t>Mr. Miliband</t>
  </si>
  <si>
    <t>122 East 42nd Street</t>
  </si>
  <si>
    <t>10168</t>
  </si>
  <si>
    <t>Jiji Foundation</t>
  </si>
  <si>
    <t>91-1664723</t>
  </si>
  <si>
    <t>Mr. Alan Harper</t>
  </si>
  <si>
    <t>Mr. Harper</t>
  </si>
  <si>
    <t>5170 Parkridge</t>
  </si>
  <si>
    <t>Oakland, CA</t>
  </si>
  <si>
    <t>94619</t>
  </si>
  <si>
    <t>Just Tryan It Inc.</t>
  </si>
  <si>
    <t>27-2059196</t>
  </si>
  <si>
    <t>Mr. John Smith</t>
  </si>
  <si>
    <t>Mr. Smith</t>
  </si>
  <si>
    <t>P.O. Box 34589</t>
  </si>
  <si>
    <t>20827</t>
  </si>
  <si>
    <t>Langton Green, Inc.</t>
  </si>
  <si>
    <t>Kimberly Breton</t>
  </si>
  <si>
    <t>Ms. Breton</t>
  </si>
  <si>
    <t>3016 Arundel on the Bay Road</t>
  </si>
  <si>
    <t>Latin American Youth Center Inc.</t>
  </si>
  <si>
    <t>52-1023074</t>
  </si>
  <si>
    <t>Ms. Lupi Quintero-Grady</t>
  </si>
  <si>
    <t>Ms. Quintero-Grady</t>
  </si>
  <si>
    <t>1419 Columbia Road, NW</t>
  </si>
  <si>
    <t>20009</t>
  </si>
  <si>
    <t>Latino Student Fund</t>
  </si>
  <si>
    <t>52-1859975</t>
  </si>
  <si>
    <t>Ms. Maria Fernanda Borja, Executive Director</t>
  </si>
  <si>
    <t>Mr. Borja</t>
  </si>
  <si>
    <t>P.O. Box 5403</t>
  </si>
  <si>
    <t>20016</t>
  </si>
  <si>
    <t>Life Serve Youth Foundation</t>
  </si>
  <si>
    <t>47-1157856</t>
  </si>
  <si>
    <t>Mr. Adam Slone, Founder and President</t>
  </si>
  <si>
    <t>Mr. Slone</t>
  </si>
  <si>
    <t>140 West End Avenue, Apt 4A</t>
  </si>
  <si>
    <t>10023</t>
  </si>
  <si>
    <t>Lions Camp Merrick, Inc.</t>
  </si>
  <si>
    <t>52-1289731</t>
  </si>
  <si>
    <t>Mr. Dennis Maguire</t>
  </si>
  <si>
    <t>Mr. Maguire</t>
  </si>
  <si>
    <t>3650 Rick Hamilton Place</t>
  </si>
  <si>
    <t>P.O. Box 56</t>
  </si>
  <si>
    <t>Nanjemoy, MD</t>
  </si>
  <si>
    <t>20662</t>
  </si>
  <si>
    <t>Lutheran Services in America Incorporated</t>
  </si>
  <si>
    <t>36-3304707</t>
  </si>
  <si>
    <t>Ms. Debra Hoesly</t>
  </si>
  <si>
    <t>Ms. Hoesly</t>
  </si>
  <si>
    <t>100 Maryland Avenue, NE, Suite 500</t>
  </si>
  <si>
    <t>20002</t>
  </si>
  <si>
    <t>Lutheran Social Services</t>
  </si>
  <si>
    <t>53-0207407</t>
  </si>
  <si>
    <t>Ms. Katherine Jagow, Corporate and Foundation Relations Manager</t>
  </si>
  <si>
    <t>Ms Jagow</t>
  </si>
  <si>
    <t>Maasai Girls Education Fund</t>
  </si>
  <si>
    <t>52-2344696</t>
  </si>
  <si>
    <t>Ms. Zara Botts-Goins</t>
  </si>
  <si>
    <t>Ms. Botts-Goins</t>
  </si>
  <si>
    <t>5800 MacArthur Boulevard, NW</t>
  </si>
  <si>
    <t>20016-2512</t>
  </si>
  <si>
    <t>Marys Center for Maternal and Child Care Inc.</t>
  </si>
  <si>
    <t>52-1594116</t>
  </si>
  <si>
    <t>Mr. David Tatro, President &amp; CEO</t>
  </si>
  <si>
    <t>Mr. Tatro</t>
  </si>
  <si>
    <t>2333 Ontario Road, NW</t>
  </si>
  <si>
    <t>Mid-Atlantic Red Sox</t>
  </si>
  <si>
    <t>81-3046620</t>
  </si>
  <si>
    <t>Mr. Allen Haines</t>
  </si>
  <si>
    <t>Mr. Haines</t>
  </si>
  <si>
    <t>2570 Bear Den Road</t>
  </si>
  <si>
    <t>Frederick, MD</t>
  </si>
  <si>
    <t>My Brother Vinny Inc.</t>
  </si>
  <si>
    <t>46-1773854</t>
  </si>
  <si>
    <t>Ms. Paula Miritello, Founder and Director</t>
  </si>
  <si>
    <t>Ms. Miritello</t>
  </si>
  <si>
    <t>P.O. Box 644</t>
  </si>
  <si>
    <t>Yorktown Heights, NY 10598</t>
  </si>
  <si>
    <t>One Montgomery Green Inc.</t>
  </si>
  <si>
    <t>45-2455470</t>
  </si>
  <si>
    <t>Ms. Wendy Howard, Executive Director</t>
  </si>
  <si>
    <t>8737 Colesville Road, Suite 501</t>
  </si>
  <si>
    <t>The National Alliance for Hispanic Health</t>
  </si>
  <si>
    <t>95-2856725</t>
  </si>
  <si>
    <t>Dr. Jane L. Delgado</t>
  </si>
  <si>
    <t>Dr. Delgado</t>
  </si>
  <si>
    <t>1501 16th Street, NW</t>
  </si>
  <si>
    <t>20036</t>
  </si>
  <si>
    <t>Smile Train Inc.</t>
  </si>
  <si>
    <t>13-3661416</t>
  </si>
  <si>
    <t>Mr. Brian F. Mullaney</t>
  </si>
  <si>
    <t>Mr. Mullaney</t>
  </si>
  <si>
    <t>41 Madison Avenue, 28th Floor</t>
  </si>
  <si>
    <t>10010</t>
  </si>
  <si>
    <t>Social Good Fund</t>
  </si>
  <si>
    <t>46-1323531</t>
  </si>
  <si>
    <t>Mr. Micheal Pace, Executive Director</t>
  </si>
  <si>
    <t>Mr. Pace</t>
  </si>
  <si>
    <t>P.O. Box 5473</t>
  </si>
  <si>
    <t>Richmond, CA</t>
  </si>
  <si>
    <t>94805</t>
  </si>
  <si>
    <t>Southern Reserve Police Foundation</t>
  </si>
  <si>
    <t>26-0473239</t>
  </si>
  <si>
    <t>Mr. Richard A. Meade, Treasurer</t>
  </si>
  <si>
    <t>Mr. Meade</t>
  </si>
  <si>
    <t>P.O. Box 1832</t>
  </si>
  <si>
    <t>Messrs. Joseph V. Cifala and Todd E. Harper</t>
  </si>
  <si>
    <t>St. Jude Childrens Research Hospital Inc.</t>
  </si>
  <si>
    <t>62-0646012</t>
  </si>
  <si>
    <t>Ms. Rachell Barnet</t>
  </si>
  <si>
    <t>Ms. Barnet</t>
  </si>
  <si>
    <t>501 St. Jude Place</t>
  </si>
  <si>
    <t>Memphis, TN</t>
  </si>
  <si>
    <t>38105</t>
  </si>
  <si>
    <t>Mr. Todd E. Harper</t>
  </si>
  <si>
    <t>The Family Place Incorporated</t>
  </si>
  <si>
    <t>52-1190146</t>
  </si>
  <si>
    <t>Ms. Haley Wiggins, Executive Director</t>
  </si>
  <si>
    <t>Ms. Wiggins</t>
  </si>
  <si>
    <t>3309 16th Street, NW</t>
  </si>
  <si>
    <t>20010</t>
  </si>
  <si>
    <t>Washington International School - LGH Fund</t>
  </si>
  <si>
    <t>52-0822077</t>
  </si>
  <si>
    <t>Ms. Suzanna Jemsby, Head of School and Ms. Pascale Pritsios, Director of Advancement</t>
  </si>
  <si>
    <t>Ms. Jemsby and Ms. Pritsios</t>
  </si>
  <si>
    <t>3100 Macomb Street, NW</t>
  </si>
  <si>
    <t>20008</t>
  </si>
  <si>
    <t>Washington Hospital Center Foundation</t>
  </si>
  <si>
    <t>52-1791670</t>
  </si>
  <si>
    <t>Ms. Kristen J. Pruski, Director, Annual Giving and Events</t>
  </si>
  <si>
    <t>Ms. Pruski</t>
  </si>
  <si>
    <t>110 Irving Street, NW, East Building, Room 1001</t>
  </si>
  <si>
    <t>20010-2975</t>
  </si>
  <si>
    <t>Woodland Beach Vol Fire Dept 1</t>
  </si>
  <si>
    <t>52-1168413</t>
  </si>
  <si>
    <t>Ms. Hilgenberg</t>
  </si>
  <si>
    <t>P.O. Box 236</t>
  </si>
  <si>
    <t>World Relief Corp of National Association of Evangelicals</t>
  </si>
  <si>
    <t>23-6393344</t>
  </si>
  <si>
    <t xml:space="preserve">World Vision </t>
  </si>
  <si>
    <t>95-1922279</t>
  </si>
  <si>
    <t>Paschall says the $46,831 already given is sufficient to avoid penalty.</t>
  </si>
  <si>
    <t>November End Balance from Inverness</t>
  </si>
  <si>
    <t>Total Cumulative from Inverness</t>
  </si>
  <si>
    <t>Jan-Oct Cumulative month-end totals of ofc acct (excl big influx from Inverness)</t>
  </si>
  <si>
    <t>Nov End-Balance in Ofc</t>
  </si>
  <si>
    <t>Total Cumulative from Office</t>
  </si>
  <si>
    <t>Aggregate Total of All</t>
  </si>
  <si>
    <t>Average Monthly FMV (10 or 11 months)</t>
  </si>
  <si>
    <t>Less: Estimated Excise Tax @1.39%</t>
  </si>
  <si>
    <t>Less: Est Admin Expenses  Last year 990, Part XIII Line 9</t>
  </si>
  <si>
    <t xml:space="preserve">Carryover- Last year 990 Part 1, Line 24, column D </t>
  </si>
  <si>
    <t>Net Minimum  Grant TARGET</t>
  </si>
  <si>
    <t>Remaining Grants needed to reach Target</t>
  </si>
  <si>
    <t>Jan-Oct Cumulativemonth-end balances from Inverness Statements</t>
  </si>
  <si>
    <t>Target Gifts</t>
  </si>
  <si>
    <t>Committed  YTD</t>
  </si>
  <si>
    <t>Shortage to Make Up</t>
  </si>
  <si>
    <t>Todd Hand Delivers the check  Ms. Candyce Hilgenberg, Secretary</t>
  </si>
  <si>
    <t>Yes</t>
  </si>
  <si>
    <t>No</t>
  </si>
  <si>
    <t xml:space="preserve">LESS Carryover- Last year 990 Part 1, Line 24, column D </t>
  </si>
  <si>
    <t>LESS: Est Admin Expenses  Last year 990, Part XIII Line 9</t>
  </si>
  <si>
    <t>LESS: Estimated Excise Tax @1.39%</t>
  </si>
  <si>
    <t>vacant</t>
  </si>
  <si>
    <t>Notes</t>
  </si>
  <si>
    <t>Subtotal</t>
  </si>
  <si>
    <t>Current Target</t>
  </si>
  <si>
    <t>Last Year's Target</t>
  </si>
  <si>
    <t>Committed YTD</t>
  </si>
  <si>
    <t>Copies to J2</t>
  </si>
  <si>
    <t>copies to L2</t>
  </si>
  <si>
    <t>Already put on CC?</t>
  </si>
  <si>
    <t>5000 on Dec 9; 3500 on May 28</t>
  </si>
  <si>
    <t>Jan-Oct Cumulative month-end totals of from Inv</t>
  </si>
  <si>
    <t>Yorktown Heights, NY</t>
  </si>
  <si>
    <t>Vacant - You can over-write, but do not Delete the row  (or it will affect table at far right)</t>
  </si>
  <si>
    <t>84-3732837</t>
  </si>
  <si>
    <t>Rootin For A Cure Inc.</t>
  </si>
  <si>
    <t>The African American Cultural Collaborative of Mercer County</t>
  </si>
  <si>
    <t>Annapolis Elks (Drop per RLK)</t>
  </si>
  <si>
    <t>P.O. Box 780914</t>
  </si>
  <si>
    <t>Tallassee, AL</t>
  </si>
  <si>
    <t>633 3rd Avenue, 9th Floor</t>
  </si>
  <si>
    <t>gets from K80</t>
  </si>
  <si>
    <t>Jan-Oct Cumulative month-end totals of ofc accts for KTPS</t>
  </si>
  <si>
    <t>Nov End-Balance in Ofc Accts for KTPS</t>
  </si>
  <si>
    <t>VAC</t>
  </si>
  <si>
    <t xml:space="preserve">VA </t>
  </si>
  <si>
    <t>Comfort Cases</t>
  </si>
  <si>
    <t>15825 Shady Grove Road, Suite 60</t>
  </si>
  <si>
    <t>Rockville, MD</t>
  </si>
  <si>
    <t>at the suggestion of the Washington International School</t>
  </si>
  <si>
    <t>KTPSF 4. current year</t>
  </si>
  <si>
    <t>Mr. Rob Scheer</t>
  </si>
  <si>
    <t>Mr. Scheer</t>
  </si>
  <si>
    <t>46-4044090</t>
  </si>
  <si>
    <t>P.O. Box 78481</t>
  </si>
  <si>
    <t>Tachoma, WA</t>
  </si>
  <si>
    <t>98481-8481</t>
  </si>
  <si>
    <t>Attention:  Donation Center</t>
  </si>
  <si>
    <t>Sir or Madam</t>
  </si>
  <si>
    <t>Ifodecade</t>
  </si>
  <si>
    <t>wire</t>
  </si>
  <si>
    <t>xx</t>
  </si>
  <si>
    <t>Inverness confirmed 12/18</t>
  </si>
  <si>
    <t>Jiji Foundation (Inverness did internal transfer)</t>
  </si>
  <si>
    <t>KIND Kids in Need of Defense</t>
  </si>
  <si>
    <t>26-2763038</t>
  </si>
  <si>
    <t>which credit card</t>
  </si>
  <si>
    <t>Citi</t>
  </si>
  <si>
    <t>Talbot Community Connections</t>
  </si>
  <si>
    <t>01-0580596</t>
  </si>
  <si>
    <t>talbotcommunityconnections@gmail.com</t>
  </si>
  <si>
    <t xml:space="preserve">Easton Volunteer Fire Department </t>
  </si>
  <si>
    <t>52-6054232</t>
  </si>
  <si>
    <t>http://eastonvfd.org/</t>
  </si>
  <si>
    <t xml:space="preserve">at the direction of Kyle Harper, one of the Foundation's officers, </t>
  </si>
  <si>
    <t xml:space="preserve">at the direction of Kyle Harper, one of the foundation's officers, </t>
  </si>
  <si>
    <t>amex</t>
  </si>
  <si>
    <t>Amex</t>
  </si>
  <si>
    <t>Unicef USA</t>
  </si>
  <si>
    <t>13-1760110</t>
  </si>
</sst>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5">
    <x:numFmt numFmtId="6" formatCode="&quot;$&quot;#,##0_);[Red]\(&quot;$&quot;#,##0\)"/>
    <x:numFmt numFmtId="7" formatCode="&quot;$&quot;#,##0.00_);\(&quot;$&quot;#,##0.00\)"/>
    <x:numFmt numFmtId="8" formatCode="&quot;$&quot;#,##0.00_);[Red]\(&quot;$&quot;#,##0.00\)"/>
    <x:numFmt numFmtId="43" formatCode="_(* #,##0.00_);_(* \(#,##0.00\);_(* &quot;-&quot;??_);_(@_)"/>
    <x:numFmt numFmtId="164" formatCode="_([$$-409]* #,##0.00_);_([$$-409]* \(#,##0.00\);_([$$-409]* &quot;-&quot;??_);_(@_)"/>
  </x:numFmts>
  <x:fonts count="22" x14ac:knownFonts="1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4"/>
      <x:color theme="1"/>
      <x:name val="Calibri"/>
      <x:family val="2"/>
      <x:scheme val="minor"/>
    </x:font>
    <x:font>
      <x:b/>
      <x:sz val="14"/>
      <x:color rgb="FFFF0000"/>
      <x:name val="Calibri"/>
      <x:family val="2"/>
      <x:scheme val="minor"/>
    </x:font>
    <x:font>
      <x:sz val="16"/>
      <x:color theme="1"/>
      <x:name val="Calibri"/>
      <x:family val="2"/>
      <x:scheme val="minor"/>
    </x:font>
    <x:font>
      <x:sz val="16"/>
      <x:color rgb="FF00B050"/>
      <x:name val="Calibri"/>
      <x:family val="2"/>
      <x:scheme val="minor"/>
    </x:font>
    <x:font>
      <x:sz val="16"/>
      <x:color rgb="FFFF0000"/>
      <x:name val="Calibri"/>
      <x:family val="2"/>
      <x:scheme val="minor"/>
    </x:font>
    <x:font>
      <x:sz val="11"/>
      <x:color theme="3" tint="0.39997558519241921"/>
      <x:name val="Calibri"/>
      <x:family val="2"/>
      <x:scheme val="minor"/>
    </x:font>
    <x:font>
      <x:sz val="11"/>
      <x:color rgb="FF0070C0"/>
      <x:name val="Calibri"/>
      <x:family val="2"/>
      <x:scheme val="minor"/>
    </x:font>
    <x:font>
      <x:b/>
      <x:sz val="11"/>
      <x:color rgb="FFFF0000"/>
      <x:name val="Calibri"/>
      <x:family val="2"/>
      <x:scheme val="minor"/>
    </x:font>
    <x:font>
      <x:b/>
      <x:sz val="16"/>
      <x:color rgb="FF000000"/>
      <x:name val="Calibri"/>
      <x:family val="2"/>
      <x:scheme val="minor"/>
    </x:font>
    <x:font>
      <x:strike/>
      <x:sz val="11"/>
      <x:color theme="1"/>
      <x:name val="Calibri"/>
      <x:family val="2"/>
      <x:scheme val="minor"/>
    </x:font>
    <x:font>
      <x:strike/>
      <x:sz val="10"/>
      <x:color theme="1"/>
      <x:name val="Verdana"/>
      <x:family val="2"/>
    </x:font>
    <x:font>
      <x:strike/>
      <x:sz val="11"/>
      <x:color rgb="FF0070C0"/>
      <x:name val="Calibri"/>
      <x:family val="2"/>
      <x:scheme val="minor"/>
    </x:font>
    <x:font>
      <x:sz val="16"/>
      <x:color rgb="FFC00000"/>
      <x:name val="Calibri"/>
      <x:family val="2"/>
      <x:scheme val="minor"/>
    </x:font>
    <x:font>
      <x:sz val="10"/>
      <x:color theme="1"/>
      <x:name val="Verdana"/>
      <x:family val="2"/>
    </x:font>
    <x:font>
      <x:sz val="16"/>
      <x:color theme="4"/>
      <x:name val="Calibri"/>
      <x:family val="2"/>
      <x:scheme val="minor"/>
    </x:font>
    <x:font>
      <x:sz val="9"/>
      <x:color theme="1"/>
      <x:name val="Arial"/>
      <x:family val="2"/>
    </x:font>
    <x:font>
      <x:u/>
      <x:sz val="11"/>
      <x:color theme="10"/>
      <x:name val="Calibri"/>
      <x:family val="2"/>
      <x:scheme val="minor"/>
    </x:font>
  </x:fonts>
  <x:fills count="6">
    <x:fill>
      <x:patternFill patternType="none"/>
    </x:fill>
    <x:fill>
      <x:patternFill patternType="gray125"/>
    </x:fill>
    <x:fill>
      <x:patternFill patternType="solid">
        <x:fgColor theme="4"/>
      </x:patternFill>
    </x:fill>
    <x:fill>
      <x:patternFill patternType="solid">
        <x:fgColor theme="6" tint="0.59999389629810485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theme="4" tint="-0.24994659260841701"/>
        <x:bgColor indexed="64"/>
      </x:patternFill>
    </x:fill>
  </x:fills>
  <x:borders count="11">
    <x:border>
      <x:left/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/>
      <x:right style="thin">
        <x:color indexed="64"/>
      </x:right>
      <x:top style="thin">
        <x:color indexed="64"/>
      </x:top>
      <x:bottom/>
      <x:diagonal/>
    </x:border>
    <x:border>
      <x:left style="thin">
        <x:color indexed="64"/>
      </x:left>
      <x:right style="thin">
        <x:color indexed="64"/>
      </x:right>
      <x:top/>
      <x:bottom/>
      <x:diagonal/>
    </x:border>
    <x:border>
      <x:left/>
      <x:right style="thin">
        <x:color indexed="64"/>
      </x:right>
      <x:top/>
      <x:bottom/>
      <x:diagonal/>
    </x:border>
    <x:border>
      <x:left/>
      <x:right style="thin">
        <x:color indexed="64"/>
      </x:right>
      <x:top/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double">
        <x:color indexed="64"/>
      </x:bottom>
      <x:diagonal/>
    </x:border>
    <x:border>
      <x:left style="thin">
        <x:color indexed="64"/>
      </x:left>
      <x:right/>
      <x:top/>
      <x:bottom/>
      <x:diagonal/>
    </x:border>
  </x:borders>
  <x:cellStyleXfs count="4">
    <x:xf numFmtId="0" fontId="0" fillId="0" borderId="0"/>
    <x:xf numFmtId="43" fontId="1" fillId="0" borderId="0" applyFont="0" applyFill="0" applyBorder="0" applyAlignment="0" applyProtection="0"/>
    <x:xf numFmtId="0" fontId="4" fillId="2" borderId="0" applyNumberFormat="0" applyBorder="0" applyAlignment="0" applyProtection="0"/>
    <x:xf numFmtId="0" fontId="21" fillId="0" borderId="0" applyNumberFormat="0" applyFill="0" applyBorder="0" applyAlignment="0" applyProtection="0"/>
  </x:cellStyleXfs>
  <x:cellXfs count="137">
    <x:xf numFmtId="0" fontId="0" fillId="0" borderId="0" xfId="0"/>
    <x:xf numFmtId="49" fontId="5" fillId="0" borderId="0" xfId="0" applyNumberFormat="1" applyFont="1" applyAlignment="1" applyProtection="1">
      <x:alignment wrapText="1"/>
      <x:protection locked="0"/>
    </x:xf>
    <x:xf numFmtId="49" fontId="7" fillId="0" borderId="0" xfId="0" applyNumberFormat="1" applyFont="1" applyAlignment="1" applyProtection="1">
      <x:alignment wrapText="1"/>
      <x:protection locked="0"/>
    </x:xf>
    <x:xf numFmtId="0" fontId="0" fillId="0" borderId="0" xfId="0" applyAlignment="1" applyProtection="1">
      <x:alignment wrapText="1"/>
      <x:protection locked="0"/>
    </x:xf>
    <x:xf numFmtId="14" fontId="0" fillId="0" borderId="0" xfId="0" applyNumberFormat="1" applyFont="1" applyAlignment="1" applyProtection="1">
      <x:alignment wrapText="1"/>
      <x:protection locked="0"/>
    </x:xf>
    <x:xf numFmtId="49" fontId="0" fillId="0" borderId="0" xfId="0" applyNumberFormat="1" applyFont="1" applyAlignment="1" applyProtection="1">
      <x:alignment wrapText="1"/>
      <x:protection locked="0"/>
    </x:xf>
    <x:xf numFmtId="49" fontId="0" fillId="0" borderId="0" xfId="0" applyNumberFormat="1" applyAlignment="1" applyProtection="1">
      <x:alignment wrapText="1"/>
      <x:protection locked="0"/>
    </x:xf>
    <x:xf numFmtId="49" fontId="0" fillId="0" borderId="0" xfId="0" applyNumberFormat="1" applyAlignment="1" applyProtection="1">
      <x:alignment horizontal="center" wrapText="1"/>
      <x:protection locked="0"/>
    </x:xf>
    <x:xf numFmtId="49" fontId="6" fillId="0" borderId="0" xfId="0" applyNumberFormat="1" applyFont="1" applyAlignment="1" applyProtection="1">
      <x:alignment wrapText="1"/>
      <x:protection locked="0"/>
    </x:xf>
    <x:xf numFmtId="8" fontId="8" fillId="0" borderId="0" xfId="0" applyNumberFormat="1" applyFont="1" applyAlignment="1" applyProtection="1">
      <x:alignment wrapText="1"/>
      <x:protection locked="0"/>
    </x:xf>
    <x:xf numFmtId="43" fontId="3" fillId="0" borderId="2" xfId="1" applyFont="1" applyBorder="1" applyAlignment="1" applyProtection="1">
      <x:alignment wrapText="1"/>
      <x:protection locked="0"/>
    </x:xf>
    <x:xf numFmtId="0" fontId="3" fillId="0" borderId="2" xfId="0" applyFont="1" applyBorder="1" applyAlignment="1" applyProtection="1">
      <x:alignment wrapText="1"/>
      <x:protection locked="0"/>
    </x:xf>
    <x:xf numFmtId="0" fontId="2" fillId="2" borderId="2" xfId="2" applyFont="1" applyBorder="1" applyAlignment="1">
      <x:alignment horizontal="center" vertical="center" wrapText="1"/>
    </x:xf>
    <x:xf numFmtId="164" fontId="2" fillId="2" borderId="2" xfId="2" applyNumberFormat="1" applyFont="1" applyBorder="1" applyAlignment="1">
      <x:alignment horizontal="center" vertical="center" wrapText="1"/>
    </x:xf>
    <x:xf numFmtId="14" fontId="2" fillId="2" borderId="2" xfId="2" applyNumberFormat="1" applyFont="1" applyBorder="1" applyAlignment="1">
      <x:alignment horizontal="center" vertical="center" wrapText="1"/>
    </x:xf>
    <x:xf numFmtId="0" fontId="3" fillId="0" borderId="0" xfId="0" applyFont="1" applyAlignment="1">
      <x:alignment horizontal="center" vertical="center" wrapText="1"/>
    </x:xf>
    <x:xf numFmtId="43" fontId="3" fillId="0" borderId="4" xfId="1" applyFont="1" applyBorder="1" applyAlignment="1">
      <x:alignment horizontal="center" vertical="center" wrapText="1"/>
    </x:xf>
    <x:xf numFmtId="0" fontId="3" fillId="0" borderId="4" xfId="0" applyFont="1" applyBorder="1" applyAlignment="1">
      <x:alignment horizontal="center" vertical="center" wrapText="1"/>
    </x:xf>
    <x:xf numFmtId="0" fontId="0" fillId="0" borderId="2" xfId="0" applyFont="1" applyBorder="1" applyAlignment="1" applyProtection="1">
      <x:alignment vertical="center"/>
      <x:protection locked="0"/>
    </x:xf>
    <x:xf numFmtId="0" fontId="0" fillId="0" borderId="2" xfId="0" applyFont="1" applyBorder="1" applyAlignment="1" applyProtection="1">
      <x:alignment horizontal="center" vertical="center"/>
      <x:protection locked="0"/>
    </x:xf>
    <x:xf numFmtId="0" fontId="0" fillId="0" borderId="2" xfId="0" applyFont="1" applyBorder="1" applyAlignment="1" applyProtection="1">
      <x:alignment vertical="center" wrapText="1"/>
      <x:protection locked="0"/>
    </x:xf>
    <x:xf numFmtId="164" fontId="0" fillId="0" borderId="2" xfId="0" applyNumberFormat="1" applyFont="1" applyBorder="1" applyAlignment="1" applyProtection="1">
      <x:alignment vertical="center"/>
      <x:protection locked="0"/>
    </x:xf>
    <x:xf numFmtId="14" fontId="0" fillId="0" borderId="2" xfId="0" applyNumberFormat="1" applyFont="1" applyBorder="1" applyAlignment="1" applyProtection="1">
      <x:alignment vertical="center"/>
      <x:protection locked="0"/>
    </x:xf>
    <x:xf numFmtId="0" fontId="0" fillId="0" borderId="2" xfId="0" applyBorder="1" applyAlignment="1" applyProtection="1">
      <x:alignment vertical="center"/>
      <x:protection locked="0"/>
    </x:xf>
    <x:xf numFmtId="0" fontId="0" fillId="0" borderId="2" xfId="0" applyBorder="1" applyAlignment="1" applyProtection="1">
      <x:alignment horizontal="center" vertical="center"/>
      <x:protection locked="0"/>
    </x:xf>
    <x:xf numFmtId="0" fontId="0" fillId="0" borderId="0" xfId="0" applyAlignment="1" applyProtection="1">
      <x:alignment vertical="center" wrapText="1"/>
      <x:protection locked="0"/>
    </x:xf>
    <x:xf numFmtId="43" fontId="0" fillId="3" borderId="6" xfId="1" applyFont="1" applyFill="1" applyBorder="1" applyAlignment="1" applyProtection="1">
      <x:alignment vertical="center" wrapText="1"/>
      <x:protection locked="0"/>
    </x:xf>
    <x:xf numFmtId="0" fontId="0" fillId="3" borderId="6" xfId="0" applyFill="1" applyBorder="1" applyAlignment="1" applyProtection="1">
      <x:alignment vertical="center" wrapText="1"/>
      <x:protection locked="0"/>
    </x:xf>
    <x:xf numFmtId="43" fontId="0" fillId="3" borderId="7" xfId="1" applyFont="1" applyFill="1" applyBorder="1" applyAlignment="1" applyProtection="1">
      <x:alignment vertical="center" wrapText="1"/>
      <x:protection locked="0"/>
    </x:xf>
    <x:xf numFmtId="0" fontId="0" fillId="0" borderId="6" xfId="0" applyBorder="1" applyAlignment="1" applyProtection="1">
      <x:alignment vertical="center" wrapText="1"/>
      <x:protection locked="0"/>
    </x:xf>
    <x:xf numFmtId="43" fontId="3" fillId="0" borderId="9" xfId="1" applyFont="1" applyBorder="1" applyAlignment="1" applyProtection="1">
      <x:alignment vertical="center" wrapText="1"/>
      <x:protection locked="0"/>
    </x:xf>
    <x:xf numFmtId="0" fontId="0" fillId="0" borderId="7" xfId="0" applyBorder="1" applyAlignment="1" applyProtection="1">
      <x:alignment vertical="center" wrapText="1"/>
      <x:protection locked="0"/>
    </x:xf>
    <x:xf numFmtId="0" fontId="10" fillId="0" borderId="2" xfId="0" applyFont="1" applyBorder="1" applyAlignment="1" applyProtection="1">
      <x:alignment vertical="center"/>
      <x:protection locked="0"/>
    </x:xf>
    <x:xf numFmtId="0" fontId="10" fillId="0" borderId="2" xfId="0" applyFont="1" applyBorder="1" applyAlignment="1" applyProtection="1">
      <x:alignment horizontal="center" vertical="center"/>
      <x:protection locked="0"/>
    </x:xf>
    <x:xf numFmtId="0" fontId="10" fillId="0" borderId="0" xfId="0" applyFont="1" applyAlignment="1" applyProtection="1">
      <x:alignment vertical="center" wrapText="1"/>
      <x:protection locked="0"/>
    </x:xf>
    <x:xf numFmtId="0" fontId="11" fillId="0" borderId="2" xfId="0" applyFont="1" applyBorder="1" applyAlignment="1" applyProtection="1">
      <x:alignment vertical="center"/>
      <x:protection locked="0"/>
    </x:xf>
    <x:xf numFmtId="14" fontId="11" fillId="0" borderId="2" xfId="0" applyNumberFormat="1" applyFont="1" applyBorder="1" applyAlignment="1" applyProtection="1">
      <x:alignment vertical="center"/>
      <x:protection locked="0"/>
    </x:xf>
    <x:xf numFmtId="0" fontId="11" fillId="0" borderId="2" xfId="0" applyFont="1" applyBorder="1" applyAlignment="1" applyProtection="1">
      <x:alignment horizontal="center" vertical="center"/>
      <x:protection locked="0"/>
    </x:xf>
    <x:xf numFmtId="0" fontId="11" fillId="0" borderId="0" xfId="0" applyFont="1" applyAlignment="1" applyProtection="1">
      <x:alignment vertical="center" wrapText="1"/>
      <x:protection locked="0"/>
    </x:xf>
    <x:xf numFmtId="14" fontId="10" fillId="0" borderId="2" xfId="0" applyNumberFormat="1" applyFont="1" applyBorder="1" applyAlignment="1" applyProtection="1">
      <x:alignment vertical="center"/>
      <x:protection locked="0"/>
    </x:xf>
    <x:xf numFmtId="49" fontId="0" fillId="0" borderId="0" xfId="0" applyNumberFormat="1" applyFont="1" applyAlignment="1" applyProtection="1">
      <x:alignment vertical="center" wrapText="1"/>
      <x:protection locked="0"/>
    </x:xf>
    <x:xf numFmtId="49" fontId="0" fillId="0" borderId="0" xfId="0" applyNumberFormat="1" applyFont="1" applyAlignment="1" applyProtection="1">
      <x:alignment horizontal="center" vertical="center"/>
      <x:protection locked="0"/>
    </x:xf>
    <x:xf numFmtId="49" fontId="0" fillId="0" borderId="0" xfId="0" applyNumberFormat="1" applyAlignment="1" applyProtection="1">
      <x:alignment vertical="center" wrapText="1"/>
      <x:protection locked="0"/>
    </x:xf>
    <x:xf numFmtId="164" fontId="0" fillId="0" borderId="0" xfId="0" applyNumberFormat="1" applyAlignment="1" applyProtection="1">
      <x:alignment vertical="center" wrapText="1"/>
      <x:protection locked="0"/>
    </x:xf>
    <x:xf numFmtId="0" fontId="0" fillId="0" borderId="0" xfId="0" applyNumberFormat="1" applyAlignment="1" applyProtection="1">
      <x:alignment vertical="center"/>
      <x:protection locked="0"/>
    </x:xf>
    <x:xf numFmtId="14" fontId="0" fillId="0" borderId="0" xfId="0" applyNumberFormat="1" applyFont="1" applyAlignment="1" applyProtection="1">
      <x:alignment vertical="center" wrapText="1"/>
      <x:protection locked="0"/>
    </x:xf>
    <x:xf numFmtId="49" fontId="0" fillId="0" borderId="0" xfId="0" applyNumberFormat="1" applyAlignment="1" applyProtection="1">
      <x:alignment horizontal="center" vertical="center" wrapText="1"/>
      <x:protection locked="0"/>
    </x:xf>
    <x:xf numFmtId="164" fontId="3" fillId="0" borderId="0" xfId="0" applyNumberFormat="1" applyFont="1" applyAlignment="1" applyProtection="1">
      <x:alignment vertical="center" wrapText="1"/>
      <x:protection locked="0"/>
    </x:xf>
    <x:xf numFmtId="164" fontId="3" fillId="0" borderId="0" xfId="0" applyNumberFormat="1" applyFont="1" applyAlignment="1" applyProtection="1">
      <x:alignment horizontal="left" vertical="center"/>
      <x:protection locked="0"/>
    </x:xf>
    <x:xf numFmtId="49" fontId="12" fillId="0" borderId="0" xfId="0" applyNumberFormat="1" applyFont="1" applyAlignment="1" applyProtection="1">
      <x:alignment vertical="center" wrapText="1"/>
      <x:protection locked="0"/>
    </x:xf>
    <x:xf numFmtId="0" fontId="3" fillId="0" borderId="0" xfId="0" applyNumberFormat="1" applyFont="1" applyAlignment="1" applyProtection="1">
      <x:alignment horizontal="left" vertical="center"/>
      <x:protection locked="0"/>
    </x:xf>
    <x:xf numFmtId="49" fontId="3" fillId="0" borderId="0" xfId="0" applyNumberFormat="1" applyFont="1" applyAlignment="1" applyProtection="1">
      <x:alignment vertical="center" wrapText="1"/>
      <x:protection locked="0"/>
    </x:xf>
    <x:xf numFmtId="0" fontId="3" fillId="0" borderId="2" xfId="0" applyFont="1" applyBorder="1" applyAlignment="1" applyProtection="1"/>
    <x:xf numFmtId="0" fontId="0" fillId="0" borderId="3" xfId="0" applyBorder="1" applyAlignment="1" applyProtection="1">
      <x:alignment vertical="center"/>
    </x:xf>
    <x:xf numFmtId="0" fontId="0" fillId="0" borderId="5" xfId="0" applyBorder="1" applyAlignment="1" applyProtection="1">
      <x:alignment vertical="center"/>
    </x:xf>
    <x:xf numFmtId="43" fontId="0" fillId="0" borderId="6" xfId="1" applyFont="1" applyBorder="1" applyAlignment="1" applyProtection="1">
      <x:alignment vertical="center" wrapText="1"/>
    </x:xf>
    <x:xf numFmtId="0" fontId="0" fillId="0" borderId="10" xfId="0" applyBorder="1" applyAlignment="1" applyProtection="1">
      <x:alignment vertical="center"/>
    </x:xf>
    <x:xf numFmtId="43" fontId="0" fillId="3" borderId="5" xfId="1" applyFont="1" applyFill="1" applyBorder="1" applyAlignment="1" applyProtection="1">
      <x:alignment vertical="center" wrapText="1"/>
      <x:protection locked="0"/>
    </x:xf>
    <x:xf numFmtId="0" fontId="0" fillId="0" borderId="0" xfId="0" applyProtection="1"/>
    <x:xf numFmtId="43" fontId="0" fillId="0" borderId="7" xfId="1" applyFont="1" applyBorder="1" applyAlignment="1" applyProtection="1">
      <x:alignment vertical="center" wrapText="1"/>
    </x:xf>
    <x:xf numFmtId="43" fontId="3" fillId="0" borderId="6" xfId="1" applyFont="1" applyFill="1" applyBorder="1" applyAlignment="1" applyProtection="1">
      <x:alignment vertical="center" wrapText="1"/>
    </x:xf>
    <x:xf numFmtId="43" fontId="0" fillId="0" borderId="6" xfId="1" applyFont="1" applyFill="1" applyBorder="1" applyAlignment="1" applyProtection="1">
      <x:alignment vertical="center" wrapText="1"/>
    </x:xf>
    <x:xf numFmtId="0" fontId="0" fillId="0" borderId="8" xfId="0" applyBorder="1" applyAlignment="1" applyProtection="1">
      <x:alignment vertical="center"/>
    </x:xf>
    <x:xf numFmtId="8" fontId="13" fillId="0" borderId="0" xfId="0" applyNumberFormat="1" applyFont="1"/>
    <x:xf numFmtId="6" fontId="8" fillId="0" borderId="0" xfId="0" applyNumberFormat="1" applyFont="1" applyAlignment="1" applyProtection="1">
      <x:alignment wrapText="1"/>
      <x:protection locked="0"/>
    </x:xf>
    <x:xf numFmtId="0" fontId="0" fillId="0" borderId="0" xfId="0" applyProtection="1">
      <x:protection locked="0"/>
    </x:xf>
    <x:xf numFmtId="164" fontId="8" fillId="0" borderId="0" xfId="0" applyNumberFormat="1" applyFont="1" applyAlignment="1" applyProtection="1">
      <x:alignment horizontal="right" wrapText="1"/>
    </x:xf>
    <x:xf numFmtId="0" fontId="14" fillId="0" borderId="2" xfId="0" applyFont="1" applyFill="1" applyBorder="1" applyAlignment="1" applyProtection="1">
      <x:alignment vertical="center"/>
      <x:protection locked="0"/>
    </x:xf>
    <x:xf numFmtId="0" fontId="14" fillId="0" borderId="2" xfId="0" applyFont="1" applyFill="1" applyBorder="1" applyAlignment="1" applyProtection="1">
      <x:alignment horizontal="center" vertical="center"/>
      <x:protection locked="0"/>
    </x:xf>
    <x:xf numFmtId="0" fontId="14" fillId="0" borderId="2" xfId="0" applyFont="1" applyFill="1" applyBorder="1" applyAlignment="1" applyProtection="1">
      <x:alignment vertical="center" wrapText="1"/>
      <x:protection locked="0"/>
    </x:xf>
    <x:xf numFmtId="164" fontId="14" fillId="0" borderId="2" xfId="0" applyNumberFormat="1" applyFont="1" applyFill="1" applyBorder="1" applyAlignment="1" applyProtection="1">
      <x:alignment vertical="center"/>
      <x:protection locked="0"/>
    </x:xf>
    <x:xf numFmtId="0" fontId="14" fillId="0" borderId="2" xfId="0" applyFont="1" applyBorder="1" applyAlignment="1" applyProtection="1">
      <x:alignment vertical="center"/>
      <x:protection locked="0"/>
    </x:xf>
    <x:xf numFmtId="0" fontId="14" fillId="0" borderId="2" xfId="0" applyFont="1" applyBorder="1" applyAlignment="1" applyProtection="1">
      <x:alignment horizontal="center" vertical="center"/>
      <x:protection locked="0"/>
    </x:xf>
    <x:xf numFmtId="0" fontId="14" fillId="0" borderId="2" xfId="0" applyFont="1" applyBorder="1" applyAlignment="1" applyProtection="1">
      <x:alignment vertical="center" wrapText="1"/>
      <x:protection locked="0"/>
    </x:xf>
    <x:xf numFmtId="164" fontId="14" fillId="0" borderId="2" xfId="0" applyNumberFormat="1" applyFont="1" applyBorder="1" applyAlignment="1" applyProtection="1">
      <x:alignment vertical="center"/>
      <x:protection locked="0"/>
    </x:xf>
    <x:xf numFmtId="0" fontId="0" fillId="0" borderId="2" xfId="0" applyFont="1" applyFill="1" applyBorder="1" applyAlignment="1" applyProtection="1">
      <x:alignment vertical="center"/>
      <x:protection locked="0"/>
    </x:xf>
    <x:xf numFmtId="0" fontId="0" fillId="0" borderId="2" xfId="0" applyFont="1" applyFill="1" applyBorder="1" applyAlignment="1" applyProtection="1">
      <x:alignment horizontal="center" vertical="center"/>
      <x:protection locked="0"/>
    </x:xf>
    <x:xf numFmtId="0" fontId="0" fillId="0" borderId="2" xfId="0" applyFont="1" applyFill="1" applyBorder="1" applyAlignment="1" applyProtection="1">
      <x:alignment vertical="center" wrapText="1"/>
      <x:protection locked="0"/>
    </x:xf>
    <x:xf numFmtId="164" fontId="0" fillId="0" borderId="2" xfId="0" applyNumberFormat="1" applyFont="1" applyFill="1" applyBorder="1" applyAlignment="1" applyProtection="1">
      <x:alignment vertical="center"/>
      <x:protection locked="0"/>
    </x:xf>
    <x:xf numFmtId="0" fontId="15" fillId="0" borderId="0" xfId="0" applyFont="1"/>
    <x:xf numFmtId="0" fontId="14" fillId="0" borderId="2" xfId="0" applyFont="1" applyBorder="1" applyAlignment="1" applyProtection="1">
      <x:alignment horizontal="left" vertical="center"/>
      <x:protection locked="0"/>
    </x:xf>
    <x:xf numFmtId="0" fontId="0" fillId="0" borderId="2" xfId="0" applyFont="1" applyFill="1" applyBorder="1" applyAlignment="1" applyProtection="1">
      <x:alignment horizontal="left" vertical="center"/>
      <x:protection locked="0"/>
    </x:xf>
    <x:xf numFmtId="0" fontId="0" fillId="4" borderId="2" xfId="0" applyFont="1" applyFill="1" applyBorder="1" applyAlignment="1" applyProtection="1">
      <x:alignment vertical="center"/>
      <x:protection locked="0"/>
    </x:xf>
    <x:xf numFmtId="0" fontId="0" fillId="4" borderId="2" xfId="0" applyFont="1" applyFill="1" applyBorder="1" applyAlignment="1" applyProtection="1">
      <x:alignment horizontal="center" vertical="center"/>
      <x:protection locked="0"/>
    </x:xf>
    <x:xf numFmtId="0" fontId="0" fillId="4" borderId="2" xfId="0" applyFont="1" applyFill="1" applyBorder="1" applyAlignment="1" applyProtection="1">
      <x:alignment vertical="center" wrapText="1"/>
      <x:protection locked="0"/>
    </x:xf>
    <x:xf numFmtId="164" fontId="0" fillId="4" borderId="2" xfId="0" applyNumberFormat="1" applyFont="1" applyFill="1" applyBorder="1" applyAlignment="1" applyProtection="1">
      <x:alignment vertical="center"/>
      <x:protection locked="0"/>
    </x:xf>
    <x:xf numFmtId="14" fontId="14" fillId="0" borderId="2" xfId="0" applyNumberFormat="1" applyFont="1" applyFill="1" applyBorder="1" applyAlignment="1" applyProtection="1">
      <x:alignment vertical="center"/>
      <x:protection locked="0"/>
    </x:xf>
    <x:xf numFmtId="14" fontId="14" fillId="0" borderId="2" xfId="0" applyNumberFormat="1" applyFont="1" applyBorder="1" applyAlignment="1" applyProtection="1">
      <x:alignment vertical="center"/>
      <x:protection locked="0"/>
    </x:xf>
    <x:xf numFmtId="14" fontId="0" fillId="0" borderId="2" xfId="0" applyNumberFormat="1" applyFont="1" applyFill="1" applyBorder="1" applyAlignment="1" applyProtection="1">
      <x:alignment vertical="center"/>
      <x:protection locked="0"/>
    </x:xf>
    <x:xf numFmtId="0" fontId="10" fillId="0" borderId="2" xfId="0" applyFont="1" applyFill="1" applyBorder="1" applyAlignment="1" applyProtection="1">
      <x:alignment vertical="center"/>
      <x:protection locked="0"/>
    </x:xf>
    <x:xf numFmtId="0" fontId="10" fillId="0" borderId="2" xfId="0" applyFont="1" applyFill="1" applyBorder="1" applyAlignment="1" applyProtection="1">
      <x:alignment horizontal="center" vertical="center"/>
      <x:protection locked="0"/>
    </x:xf>
    <x:xf numFmtId="0" fontId="16" fillId="0" borderId="2" xfId="0" applyFont="1" applyBorder="1" applyAlignment="1" applyProtection="1">
      <x:alignment vertical="center"/>
      <x:protection locked="0"/>
    </x:xf>
    <x:xf numFmtId="14" fontId="16" fillId="0" borderId="2" xfId="0" applyNumberFormat="1" applyFont="1" applyBorder="1" applyAlignment="1" applyProtection="1">
      <x:alignment vertical="center"/>
      <x:protection locked="0"/>
    </x:xf>
    <x:xf numFmtId="0" fontId="16" fillId="0" borderId="2" xfId="0" applyFont="1" applyBorder="1" applyAlignment="1" applyProtection="1">
      <x:alignment horizontal="center" vertical="center"/>
      <x:protection locked="0"/>
    </x:xf>
    <x:xf numFmtId="0" fontId="0" fillId="0" borderId="2" xfId="0" applyFill="1" applyBorder="1" applyAlignment="1" applyProtection="1">
      <x:alignment vertical="center"/>
      <x:protection locked="0"/>
    </x:xf>
    <x:xf numFmtId="0" fontId="0" fillId="0" borderId="2" xfId="0" applyFill="1" applyBorder="1" applyAlignment="1" applyProtection="1">
      <x:alignment horizontal="center" vertical="center"/>
      <x:protection locked="0"/>
    </x:xf>
    <x:xf numFmtId="0" fontId="11" fillId="0" borderId="2" xfId="0" applyFont="1" applyFill="1" applyBorder="1" applyAlignment="1" applyProtection="1">
      <x:alignment vertical="center"/>
      <x:protection locked="0"/>
    </x:xf>
    <x:xf numFmtId="0" fontId="11" fillId="0" borderId="2" xfId="0" applyFont="1" applyFill="1" applyBorder="1" applyAlignment="1" applyProtection="1">
      <x:alignment horizontal="center" vertical="center"/>
      <x:protection locked="0"/>
    </x:xf>
    <x:xf numFmtId="14" fontId="11" fillId="0" borderId="2" xfId="0" applyNumberFormat="1" applyFont="1" applyFill="1" applyBorder="1" applyAlignment="1" applyProtection="1">
      <x:alignment vertical="center"/>
      <x:protection locked="0"/>
    </x:xf>
    <x:xf numFmtId="14" fontId="0" fillId="4" borderId="2" xfId="0" applyNumberFormat="1" applyFont="1" applyFill="1" applyBorder="1" applyAlignment="1" applyProtection="1">
      <x:alignment vertical="center"/>
      <x:protection locked="0"/>
    </x:xf>
    <x:xf numFmtId="0" fontId="0" fillId="4" borderId="2" xfId="0" applyFill="1" applyBorder="1" applyAlignment="1" applyProtection="1">
      <x:alignment vertical="center"/>
      <x:protection locked="0"/>
    </x:xf>
    <x:xf numFmtId="0" fontId="0" fillId="4" borderId="2" xfId="0" applyFill="1" applyBorder="1" applyAlignment="1" applyProtection="1">
      <x:alignment horizontal="center" vertical="center"/>
      <x:protection locked="0"/>
    </x:xf>
    <x:xf numFmtId="49" fontId="4" fillId="0" borderId="0" xfId="0" applyNumberFormat="1" applyFont="1" applyAlignment="1" applyProtection="1">
      <x:alignment wrapText="1"/>
    </x:xf>
    <x:xf numFmtId="49" fontId="7" fillId="0" borderId="0" xfId="0" applyNumberFormat="1" applyFont="1" applyAlignment="1" applyProtection="1">
      <x:alignment wrapText="1"/>
    </x:xf>
    <x:xf numFmtId="0" fontId="7" fillId="0" borderId="0" xfId="0" applyNumberFormat="1" applyFont="1" applyAlignment="1" applyProtection="1">
      <x:alignment wrapText="1"/>
    </x:xf>
    <x:xf numFmtId="164" fontId="9" fillId="0" borderId="0" xfId="0" applyNumberFormat="1" applyFont="1" applyAlignment="1" applyProtection="1">
      <x:alignment horizontal="right" wrapText="1"/>
    </x:xf>
    <x:xf numFmtId="0" fontId="17" fillId="0" borderId="0" xfId="0" applyFont="1" applyAlignment="1" applyProtection="1">
      <x:alignment wrapText="1"/>
      <x:protection locked="0"/>
    </x:xf>
    <x:xf numFmtId="7" fontId="17" fillId="0" borderId="0" xfId="0" applyNumberFormat="1" applyFont="1" applyAlignment="1" applyProtection="1">
      <x:alignment horizontal="center" wrapText="1"/>
      <x:protection locked="0"/>
    </x:xf>
    <x:xf numFmtId="0" fontId="0" fillId="0" borderId="5" xfId="0" applyFont="1" applyBorder="1" applyAlignment="1" applyProtection="1">
      <x:alignment vertical="center"/>
    </x:xf>
    <x:xf numFmtId="0" fontId="2" fillId="5" borderId="0" xfId="0" applyFont="1" applyFill="1" applyAlignment="1">
      <x:alignment horizontal="center" vertical="center" wrapText="1"/>
    </x:xf>
    <x:xf numFmtId="0" fontId="0" fillId="0" borderId="0" xfId="0" applyFont="1" applyAlignment="1" applyProtection="1">
      <x:alignment vertical="center" wrapText="1"/>
      <x:protection locked="0"/>
    </x:xf>
    <x:xf numFmtId="0" fontId="0" fillId="0" borderId="6" xfId="0" applyFont="1" applyBorder="1" applyAlignment="1" applyProtection="1">
      <x:alignment vertical="center" wrapText="1"/>
      <x:protection locked="0"/>
    </x:xf>
    <x:xf numFmtId="0" fontId="18" fillId="0" borderId="0" xfId="0" applyFont="1"/>
    <x:xf numFmtId="0" fontId="0" fillId="0" borderId="0" xfId="0" applyFill="1" applyAlignment="1" applyProtection="1">
      <x:alignment vertical="center" wrapText="1"/>
      <x:protection locked="0"/>
    </x:xf>
    <x:xf numFmtId="164" fontId="19" fillId="0" borderId="0" xfId="0" applyNumberFormat="1" applyFont="1" applyAlignment="1" applyProtection="1">
      <x:alignment horizontal="right" wrapText="1"/>
    </x:xf>
    <x:xf numFmtId="164" fontId="0" fillId="0" borderId="0" xfId="0" applyNumberFormat="1" applyAlignment="1" applyProtection="1">
      <x:alignment vertical="center" wrapText="1"/>
    </x:xf>
    <x:xf numFmtId="43" fontId="0" fillId="0" borderId="5" xfId="1" applyFont="1" applyFill="1" applyBorder="1" applyAlignment="1" applyProtection="1">
      <x:alignment vertical="center" wrapText="1"/>
    </x:xf>
    <x:xf numFmtId="43" fontId="3" fillId="0" borderId="9" xfId="1" applyFont="1" applyBorder="1" applyAlignment="1" applyProtection="1">
      <x:alignment vertical="center" wrapText="1"/>
    </x:xf>
    <x:xf numFmtId="0" fontId="0" fillId="0" borderId="7" xfId="0" applyBorder="1" applyAlignment="1" applyProtection="1">
      <x:alignment vertical="center" wrapText="1"/>
    </x:xf>
    <x:xf numFmtId="0" fontId="0" fillId="3" borderId="6" xfId="0" applyFill="1" applyBorder="1" applyAlignment="1" applyProtection="1">
      <x:alignment vertical="center" wrapText="1"/>
    </x:xf>
    <x:xf numFmtId="0" fontId="0" fillId="0" borderId="0" xfId="0" applyFont="1" applyProtection="1"/>
    <x:xf numFmtId="0" fontId="0" fillId="0" borderId="0" xfId="0" applyFont="1"/>
    <x:xf numFmtId="0" fontId="0" fillId="0" borderId="6" xfId="0" applyFont="1" applyBorder="1" applyAlignment="1" applyProtection="1">
      <x:alignment vertical="center" wrapText="1"/>
    </x:xf>
    <x:xf numFmtId="49" fontId="0" fillId="0" borderId="2" xfId="0" applyNumberFormat="1" applyFont="1" applyBorder="1" applyAlignment="1" applyProtection="1">
      <x:alignment horizontal="left" vertical="center"/>
      <x:protection locked="0"/>
    </x:xf>
    <x:xf numFmtId="49" fontId="0" fillId="0" borderId="2" xfId="0" applyNumberFormat="1" applyFont="1" applyFill="1" applyBorder="1" applyAlignment="1" applyProtection="1">
      <x:alignment horizontal="left" vertical="center"/>
      <x:protection locked="0"/>
    </x:xf>
    <x:xf numFmtId="49" fontId="7" fillId="0" borderId="0" xfId="0" applyNumberFormat="1" applyFont="1" applyAlignment="1" applyProtection="1">
      <x:alignment horizontal="left" wrapText="1"/>
    </x:xf>
    <x:xf numFmtId="49" fontId="0" fillId="0" borderId="0" xfId="0" applyNumberFormat="1" applyAlignment="1" applyProtection="1">
      <x:alignment horizontal="left"/>
      <x:protection locked="0"/>
    </x:xf>
    <x:xf numFmtId="49" fontId="2" fillId="2" borderId="2" xfId="2" applyNumberFormat="1" applyFont="1" applyBorder="1" applyAlignment="1">
      <x:alignment horizontal="left" vertical="center" wrapText="1"/>
    </x:xf>
    <x:xf numFmtId="49" fontId="0" fillId="0" borderId="0" xfId="0" applyNumberFormat="1" applyAlignment="1" applyProtection="1">
      <x:alignment horizontal="left" vertical="center" wrapText="1"/>
      <x:protection locked="0"/>
    </x:xf>
    <x:xf numFmtId="0" fontId="20" fillId="0" borderId="0" xfId="0" applyFont="1"/>
    <x:xf numFmtId="0" fontId="21" fillId="0" borderId="2" xfId="3" applyBorder="1" applyAlignment="1" applyProtection="1">
      <x:alignment vertical="center"/>
      <x:protection locked="0"/>
    </x:xf>
    <x:xf numFmtId="164" fontId="2" fillId="2" borderId="2" xfId="2" applyNumberFormat="1" applyFont="1" applyBorder="1" applyAlignment="1" applyProtection="1">
      <x:alignment horizontal="center" vertical="center" wrapText="1"/>
    </x:xf>
    <x:xf numFmtId="164" fontId="0" fillId="0" borderId="2" xfId="0" applyNumberFormat="1" applyFont="1" applyBorder="1" applyAlignment="1" applyProtection="1">
      <x:alignment vertical="center"/>
    </x:xf>
    <x:xf numFmtId="164" fontId="0" fillId="0" borderId="2" xfId="0" applyNumberFormat="1" applyFont="1" applyFill="1" applyBorder="1" applyAlignment="1" applyProtection="1">
      <x:alignment vertical="center"/>
    </x:xf>
    <x:xf numFmtId="164" fontId="3" fillId="0" borderId="0" xfId="0" applyNumberFormat="1" applyFont="1" applyAlignment="1" applyProtection="1">
      <x:alignment vertical="center" wrapText="1"/>
    </x:xf>
    <x:xf numFmtId="49" fontId="6" fillId="0" borderId="0" xfId="0" applyNumberFormat="1" applyFont="1" applyAlignment="1" applyProtection="1">
      <x:alignment horizontal="center" wrapText="1"/>
      <x:protection locked="0"/>
    </x:xf>
    <x:xf numFmtId="49" fontId="6" fillId="0" borderId="1" xfId="0" applyNumberFormat="1" applyFont="1" applyBorder="1" applyAlignment="1" applyProtection="1">
      <x:alignment horizontal="center" wrapText="1"/>
      <x:protection locked="0"/>
    </x:xf>
  </x:cellXfs>
  <x:cellStyles count="4">
    <x:cellStyle name="Accent1" xfId="2" builtinId="29"/>
    <x:cellStyle name="Comma" xfId="1" builtinId="3"/>
    <x:cellStyle name="Hyperlink" xfId="3" builtinId="8"/>
    <x:cellStyle name="Normal" xfId="0" builtinId="0"/>
  </x:cellStyles>
  <x:dxfs count="0"/>
  <x:tableStyles count="0" defaultTableStyle="TableStyleMedium9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
<Relationships xmlns="http://schemas.openxmlformats.org/package/2006/relationships">
  <Relationship Type="http://schemas.openxmlformats.org/officeDocument/2006/relationships/worksheet" Target="worksheets/sheet8.xml" Id="rId8" />
  <Relationship Type="http://schemas.openxmlformats.org/officeDocument/2006/relationships/styles" Target="styles.xml" Id="rId13" />
  <Relationship Type="http://schemas.openxmlformats.org/officeDocument/2006/relationships/worksheet" Target="worksheets/sheet3.xml" Id="rId3" />
  <Relationship Type="http://schemas.openxmlformats.org/officeDocument/2006/relationships/worksheet" Target="worksheets/sheet7.xml" Id="rId7" />
  <Relationship Type="http://schemas.openxmlformats.org/officeDocument/2006/relationships/theme" Target="theme/theme1.xml" Id="rId12" />
  <Relationship Type="http://schemas.openxmlformats.org/officeDocument/2006/relationships/worksheet" Target="worksheets/sheet2.xml" Id="rId2" />
  <Relationship Type="http://schemas.openxmlformats.org/officeDocument/2006/relationships/worksheet" Target="worksheets/sheet1.xml" Id="rId1" />
  <Relationship Type="http://schemas.openxmlformats.org/officeDocument/2006/relationships/worksheet" Target="worksheets/sheet6.xml" Id="rId6" />
  <Relationship Type="http://schemas.openxmlformats.org/officeDocument/2006/relationships/worksheet" Target="worksheets/sheet11.xml" Id="rId11" />
  <Relationship Type="http://schemas.openxmlformats.org/officeDocument/2006/relationships/worksheet" Target="worksheets/sheet5.xml" Id="rId5" />
  <Relationship Type="http://schemas.openxmlformats.org/officeDocument/2006/relationships/calcChain" Target="calcChain.xml" Id="rId15" />
  <Relationship Type="http://schemas.openxmlformats.org/officeDocument/2006/relationships/worksheet" Target="worksheets/sheet10.xml" Id="rId10" />
  <Relationship Type="http://schemas.openxmlformats.org/officeDocument/2006/relationships/worksheet" Target="worksheets/sheet4.xml" Id="rId4" />
  <Relationship Type="http://schemas.openxmlformats.org/officeDocument/2006/relationships/worksheet" Target="worksheets/sheet9.xml" Id="rId9" />
  <Relationship Type="http://schemas.openxmlformats.org/officeDocument/2006/relationships/sharedStrings" Target="/xl/sharedStrings2.xml" Id="R96541e53ca2d4de2" />
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&#65279;<?xml version="1.0" encoding="UTF-8" standalone="yes"?>
<Relationships xmlns="http://schemas.openxmlformats.org/package/2006/relationships">
  <Relationship Id="rId2" Type="http://schemas.openxmlformats.org/officeDocument/2006/relationships/printerSettings" Target="../printerSettings/printerSettings1.bin" />
  <Relationship Id="rId1" Type="http://schemas.openxmlformats.org/officeDocument/2006/relationships/hyperlink" Target="mailto:talbotcommunityconnections@gmail.com" TargetMode="External" />
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AD80"/>
  <x:sheetViews>
    <x:sheetView tabSelected="1" workbookViewId="0">
      <x:pane xSplit="1" ySplit="3" topLeftCell="H10" activePane="bottomRight" state="frozen"/>
      <x:selection pane="topRight" activeCell="B1" sqref="B1"/>
      <x:selection pane="bottomLeft" activeCell="A4" sqref="A4"/>
      <x:selection pane="bottomRight" activeCell="K1" sqref="K1:K1048576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128" customWidth="1"/>
    <x:col min="9" max="9" width="27.28515625" style="42" customWidth="1"/>
    <x:col min="10" max="10" width="18.28515625" style="42" customWidth="1"/>
    <x:col min="11" max="11" width="19.140625" style="115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2" width="9.140625" style="25"/>
    <x:col min="23" max="23" width="23.140625" style="25" customWidth="1"/>
    <x:col min="24" max="26" width="9.140625" style="25"/>
    <x:col min="27" max="27" width="53.42578125" style="25" customWidth="1"/>
    <x:col min="28" max="28" width="13.7109375" style="25" bestFit="1" customWidth="1"/>
    <x:col min="29" max="29" width="23.85546875" style="25" customWidth="1"/>
    <x:col min="30" max="16384" width="9.140625" style="25"/>
  </x:cols>
  <x:sheetData>
    <x:row r="1" spans="1:30" s="3" customFormat="1" ht="42" x14ac:dyDescent="0.35">
      <x:c r="A1" s="1" t="s">
        <x:v>0</x:v>
      </x:c>
      <x:c r="B1" s="135"/>
      <x:c r="C1" s="135"/>
      <x:c r="D1" s="2"/>
      <x:c r="E1" s="2"/>
      <x:c r="F1" s="2"/>
      <x:c r="G1" s="103"/>
      <x:c r="H1" s="125"/>
      <x:c r="I1" s="103" t="s">
        <x:v>382</x:v>
      </x:c>
      <x:c r="J1" s="103" t="s">
        <x:v>381</x:v>
      </x:c>
      <x:c r="K1" s="104" t="s">
        <x:v>383</x:v>
      </x:c>
      <x:c r="L1" s="106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30" s="3" customFormat="1" ht="21" x14ac:dyDescent="0.35">
      <x:c r="A2" s="8"/>
      <x:c r="B2" s="136"/>
      <x:c r="C2" s="136"/>
      <x:c r="D2" s="63"/>
      <x:c r="E2" s="64"/>
      <x:c r="F2" s="9"/>
      <x:c r="G2" s="65"/>
      <x:c r="H2" s="126"/>
      <x:c r="I2" s="66"/>
      <x:c r="J2" s="66">
        <x:f>AB21</x:f>
        <x:v>295590.34583355224</x:v>
      </x:c>
      <x:c r="K2" s="114">
        <x:f>K80</x:f>
        <x:v>295331</x:v>
      </x:c>
      <x:c r="L2" s="107">
        <x:f>AB23</x:f>
        <x:v>259.34583355224459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30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7" t="s">
        <x:v>11</x:v>
      </x:c>
      <x:c r="I3" s="12" t="s">
        <x:v>12</x:v>
      </x:c>
      <x:c r="J3" s="12" t="s">
        <x:v>13</x:v>
      </x:c>
      <x:c r="K3" s="131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W3" s="109" t="s">
        <x:v>379</x:v>
      </x:c>
      <x:c r="X3" s="109" t="s">
        <x:v>386</x:v>
      </x:c>
      <x:c r="AA3" s="53"/>
      <x:c r="AB3" s="16"/>
      <x:c r="AC3" s="17"/>
      <x:c r="AD3" s="15" t="s">
        <x:v>423</x:v>
      </x:c>
    </x:row>
    <x:row r="4" spans="1:30" x14ac:dyDescent="0.25">
      <x:c r="A4" s="18" t="s">
        <x:v>393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23" t="s">
        <x:v>34</x:v>
      </x:c>
      <x:c r="I4" s="20" t="s">
        <x:v>35</x:v>
      </x:c>
      <x:c r="J4" s="21">
        <x:v>1000</x:v>
      </x:c>
      <x:c r="K4" s="132">
        <x:v>1000</x:v>
      </x:c>
      <x:c r="L4" s="18" t="str">
        <x:f>SpellNumber(K4)</x:f>
        <x:v>One Thousand  Dollars and No Cents</x:v>
      </x:c>
      <x:c r="M4" s="22">
        <x:v>44180</x:v>
      </x:c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 t="s">
        <x:v>388</x:v>
      </x:c>
      <x:c r="AB4" s="26">
        <x:v>69246490</x:v>
      </x:c>
      <x:c r="AC4" s="119" t="s">
        <x:v>41</x:v>
      </x:c>
    </x:row>
    <x:row r="5" spans="1:30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23" t="s">
        <x:v>48</x:v>
      </x:c>
      <x:c r="I5" s="20"/>
      <x:c r="J5" s="21">
        <x:v>2500</x:v>
      </x:c>
      <x:c r="K5" s="132">
        <x:v>2500</x:v>
      </x:c>
      <x:c r="L5" s="18" t="str">
        <x:f t="shared" ref="L5:L66" si="0">SpellNumber(K5)</x:f>
        <x:v>Two Thousand Five Hundred  Dollars and No Cents</x:v>
      </x:c>
      <x:c r="M5" s="22">
        <x:v>44910</x:v>
      </x:c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>
        <x:v>6924649</x:v>
      </x:c>
      <x:c r="AC5" s="119" t="s">
        <x:v>41</x:v>
      </x:c>
    </x:row>
    <x:row r="6" spans="1:30" s="110" customFormat="1" x14ac:dyDescent="0.25">
      <x:c r="A6" s="75" t="s">
        <x:v>394</x:v>
      </x:c>
      <x:c r="B6" s="76"/>
      <x:c r="C6" s="75"/>
      <x:c r="D6" s="75"/>
      <x:c r="E6" s="75"/>
      <x:c r="F6" s="75"/>
      <x:c r="G6" s="75"/>
      <x:c r="H6" s="124"/>
      <x:c r="I6" s="77"/>
      <x:c r="J6" s="78">
        <x:v>500</x:v>
      </x:c>
      <x:c r="K6" s="133">
        <x:v>500</x:v>
      </x:c>
      <x:c r="L6" s="18" t="str">
        <x:f t="shared" si="0"/>
        <x:v>Five Hundred  Dollars and No Cents</x:v>
      </x:c>
      <x:c r="M6" s="88">
        <x:v>43908</x:v>
      </x:c>
      <x:c r="N6" s="75" t="s">
        <x:v>168</x:v>
      </x:c>
      <x:c r="O6" s="75" t="s">
        <x:v>36</x:v>
      </x:c>
      <x:c r="P6" s="75" t="s">
        <x:v>37</x:v>
      </x:c>
      <x:c r="Q6" s="75"/>
      <x:c r="R6" s="75"/>
      <x:c r="S6" s="76"/>
      <x:c r="T6" s="75"/>
      <x:c r="U6" s="75"/>
      <x:c r="AA6" s="108" t="s">
        <x:v>357</x:v>
      </x:c>
      <x:c r="AB6" s="55">
        <x:f>SUM(AB3:AB5)</x:f>
        <x:v>76171139</x:v>
      </x:c>
      <x:c r="AC6" s="111"/>
    </x:row>
    <x:row r="7" spans="1:30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23" t="s">
        <x:v>56</x:v>
      </x:c>
      <x:c r="I7" s="20"/>
      <x:c r="J7" s="21">
        <x:v>1500</x:v>
      </x:c>
      <x:c r="K7" s="132">
        <x:v>1500</x:v>
      </x:c>
      <x:c r="L7" s="18" t="str">
        <x:f t="shared" si="0"/>
        <x:v>One Thousand Five Hundred  Dollars and No Cents</x:v>
      </x:c>
      <x:c r="M7" s="22">
        <x:v>44180</x:v>
      </x:c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399</x:v>
      </x:c>
      <x:c r="AB7" s="57">
        <x:v>100000</x:v>
      </x:c>
      <x:c r="AC7" s="119" t="s">
        <x:v>41</x:v>
      </x:c>
    </x:row>
    <x:row r="8" spans="1:30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23" t="s">
        <x:v>63</x:v>
      </x:c>
      <x:c r="I8" s="20"/>
      <x:c r="J8" s="21">
        <x:v>7500</x:v>
      </x:c>
      <x:c r="K8" s="132">
        <x:v>7500</x:v>
      </x:c>
      <x:c r="L8" s="18" t="str">
        <x:f t="shared" si="0"/>
        <x:v>Seven Thousand Five Hundred  Dollars and No Cents</x:v>
      </x:c>
      <x:c r="M8" s="22">
        <x:v>44180</x:v>
      </x:c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400</x:v>
      </x:c>
      <x:c r="AB8" s="57">
        <x:v>8000</x:v>
      </x:c>
      <x:c r="AC8" s="119" t="s">
        <x:v>41</x:v>
      </x:c>
    </x:row>
    <x:row r="9" spans="1:30" s="110" customFormat="1" x14ac:dyDescent="0.25">
      <x:c r="A9" s="18" t="s">
        <x:v>421</x:v>
      </x:c>
      <x:c r="B9" s="19" t="s">
        <x:v>422</x:v>
      </x:c>
      <x:c r="C9" s="18"/>
      <x:c r="D9" s="18"/>
      <x:c r="E9" s="18"/>
      <x:c r="F9" s="18"/>
      <x:c r="G9" s="18"/>
      <x:c r="H9" s="123"/>
      <x:c r="I9" s="20"/>
      <x:c r="J9" s="21"/>
      <x:c r="K9" s="132">
        <x:v>5000</x:v>
      </x:c>
      <x:c r="L9" s="18" t="str">
        <x:f t="shared" si="0"/>
        <x:v>Five Thousand  Dollars and No Cents</x:v>
      </x:c>
      <x:c r="M9" s="22"/>
      <x:c r="N9" s="18" t="s">
        <x:v>37</x:v>
      </x:c>
      <x:c r="O9" s="18" t="s">
        <x:v>36</x:v>
      </x:c>
      <x:c r="P9" s="18" t="s">
        <x:v>37</x:v>
      </x:c>
      <x:c r="Q9" s="18"/>
      <x:c r="R9" s="18"/>
      <x:c r="S9" s="19" t="s">
        <x:v>38</x:v>
      </x:c>
      <x:c r="T9" s="18" t="s">
        <x:v>432</x:v>
      </x:c>
      <x:c r="U9" s="18" t="s">
        <x:v>40</x:v>
      </x:c>
      <x:c r="AA9" s="120" t="s">
        <x:v>360</x:v>
      </x:c>
      <x:c r="AB9" s="116">
        <x:f>SUM(AB7:AB8)</x:f>
        <x:v>108000</x:v>
      </x:c>
      <x:c r="AC9" s="121"/>
      <x:c r="AD9" s="110" t="s">
        <x:v>424</x:v>
      </x:c>
    </x:row>
    <x:row r="10" spans="1:30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23" t="s">
        <x:v>74</x:v>
      </x:c>
      <x:c r="I10" s="20"/>
      <x:c r="J10" s="21">
        <x:v>4000</x:v>
      </x:c>
      <x:c r="K10" s="132">
        <x:v>4000</x:v>
      </x:c>
      <x:c r="L10" s="18" t="str">
        <x:f t="shared" si="0"/>
        <x:v>Four Thousand  Dollars and No Cents</x:v>
      </x:c>
      <x:c r="M10" s="22">
        <x:v>44173</x:v>
      </x:c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X10" s="25">
        <x:v>4000</x:v>
      </x:c>
      <x:c r="AA10" s="54" t="s">
        <x:v>361</x:v>
      </x:c>
      <x:c r="AB10" s="55">
        <x:f>SUM(AB9+AB6)</x:f>
        <x:v>76279139</x:v>
      </x:c>
      <x:c r="AC10" s="29"/>
    </x:row>
    <x:row r="11" spans="1:30" s="110" customFormat="1" x14ac:dyDescent="0.25">
      <x:c r="A11" s="18" t="s">
        <x:v>425</x:v>
      </x:c>
      <x:c r="B11" s="19" t="s">
        <x:v>426</x:v>
      </x:c>
      <x:c r="C11" s="130" t="s">
        <x:v>427</x:v>
      </x:c>
      <x:c r="D11" s="18"/>
      <x:c r="E11" s="18"/>
      <x:c r="F11" s="18"/>
      <x:c r="G11" s="18"/>
      <x:c r="H11" s="123"/>
      <x:c r="I11" s="20"/>
      <x:c r="J11" s="21"/>
      <x:c r="K11" s="132">
        <x:v>5000</x:v>
      </x:c>
      <x:c r="L11" s="18" t="str">
        <x:f t="shared" si="0"/>
        <x:v>Five Thousand  Dollars and No Cents</x:v>
      </x:c>
      <x:c r="M11" s="22"/>
      <x:c r="N11" s="18" t="s">
        <x:v>37</x:v>
      </x:c>
      <x:c r="O11" s="18" t="s">
        <x:v>36</x:v>
      </x:c>
      <x:c r="P11" s="18" t="s">
        <x:v>37</x:v>
      </x:c>
      <x:c r="Q11" s="18"/>
      <x:c r="R11" s="18"/>
      <x:c r="S11" s="19" t="s">
        <x:v>38</x:v>
      </x:c>
      <x:c r="T11" s="18" t="s">
        <x:v>432</x:v>
      </x:c>
      <x:c r="U11" s="18" t="s">
        <x:v>40</x:v>
      </x:c>
      <x:c r="X11" s="110">
        <x:v>5000</x:v>
      </x:c>
      <x:c r="AA11" s="108" t="s">
        <x:v>362</x:v>
      </x:c>
      <x:c r="AB11" s="55">
        <x:f>IF(AB5&gt;0,AB10/11,AB10/10)</x:f>
        <x:v>6934467.1818181816</x:v>
      </x:c>
      <x:c r="AC11" s="111"/>
      <x:c r="AD11" s="110" t="s">
        <x:v>434</x:v>
      </x:c>
    </x:row>
    <x:row r="12" spans="1:30" s="110" customFormat="1" x14ac:dyDescent="0.25">
      <x:c r="A12" s="75" t="s">
        <x:v>428</x:v>
      </x:c>
      <x:c r="B12" s="76" t="s">
        <x:v>429</x:v>
      </x:c>
      <x:c r="C12" s="75" t="s">
        <x:v>430</x:v>
      </x:c>
      <x:c r="D12" s="75"/>
      <x:c r="E12" s="75"/>
      <x:c r="F12" s="75"/>
      <x:c r="G12" s="75"/>
      <x:c r="H12" s="124"/>
      <x:c r="I12" s="77"/>
      <x:c r="J12" s="78"/>
      <x:c r="K12" s="133">
        <x:v>3000</x:v>
      </x:c>
      <x:c r="L12" s="18" t="str">
        <x:f t="shared" si="0"/>
        <x:v>Three Thousand  Dollars and No Cents</x:v>
      </x:c>
      <x:c r="M12" s="88"/>
      <x:c r="N12" s="75" t="s">
        <x:v>373</x:v>
      </x:c>
      <x:c r="O12" s="75" t="s">
        <x:v>36</x:v>
      </x:c>
      <x:c r="P12" s="75" t="s">
        <x:v>37</x:v>
      </x:c>
      <x:c r="Q12" s="75"/>
      <x:c r="R12" s="75"/>
      <x:c r="S12" s="76" t="s">
        <x:v>38</x:v>
      </x:c>
      <x:c r="T12" s="75" t="s">
        <x:v>431</x:v>
      </x:c>
      <x:c r="U12" s="75" t="s">
        <x:v>40</x:v>
      </x:c>
      <x:c r="X12" s="110">
        <x:v>3000</x:v>
      </x:c>
      <x:c r="AA12" s="108" t="s">
        <x:v>75</x:v>
      </x:c>
      <x:c r="AB12" s="59">
        <x:f>-AB11*1.5%</x:f>
        <x:v>-104017.00772727272</x:v>
      </x:c>
      <x:c r="AC12" s="111"/>
      <x:c r="AD12" s="110" t="s">
        <x:v>433</x:v>
      </x:c>
    </x:row>
    <x:row r="13" spans="1:30" s="110" customFormat="1" x14ac:dyDescent="0.25">
      <x:c r="A13" s="75" t="s">
        <x:v>390</x:v>
      </x:c>
      <x:c r="B13" s="76"/>
      <x:c r="C13" s="75"/>
      <x:c r="D13" s="75"/>
      <x:c r="E13" s="75"/>
      <x:c r="F13" s="75"/>
      <x:c r="G13" s="75"/>
      <x:c r="H13" s="124"/>
      <x:c r="I13" s="77"/>
      <x:c r="J13" s="78"/>
      <x:c r="K13" s="133"/>
      <x:c r="L13" s="18" t="str">
        <x:f t="shared" si="0"/>
        <x:v>No Dollars and No Cents</x:v>
      </x:c>
      <x:c r="M13" s="88" t="s">
        <x:v>418</x:v>
      </x:c>
      <x:c r="N13" s="75"/>
      <x:c r="O13" s="75" t="s">
        <x:v>36</x:v>
      </x:c>
      <x:c r="P13" s="75" t="s">
        <x:v>401</x:v>
      </x:c>
      <x:c r="Q13" s="75"/>
      <x:c r="R13" s="75"/>
      <x:c r="S13" s="76"/>
      <x:c r="T13" s="75" t="s">
        <x:v>39</x:v>
      </x:c>
      <x:c r="U13" s="75" t="s">
        <x:v>40</x:v>
      </x:c>
      <x:c r="AA13" s="108" t="s">
        <x:v>380</x:v>
      </x:c>
      <x:c r="AB13" s="55">
        <x:f>SUM(AB11:AB12)</x:f>
        <x:v>6830450.1740909088</x:v>
      </x:c>
      <x:c r="AC13" s="111"/>
    </x:row>
    <x:row r="14" spans="1:30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23" t="s">
        <x:v>97</x:v>
      </x:c>
      <x:c r="I14" s="20"/>
      <x:c r="J14" s="21">
        <x:v>9000</x:v>
      </x:c>
      <x:c r="K14" s="132">
        <x:v>10000</x:v>
      </x:c>
      <x:c r="L14" s="18" t="str">
        <x:f t="shared" si="0"/>
        <x:v>Ten Thousand  Dollars and No Cents</x:v>
      </x:c>
      <x:c r="M14" s="22">
        <x:v>44180</x:v>
      </x:c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341522.50870454544</x:v>
      </x:c>
      <x:c r="AC14" s="29"/>
    </x:row>
    <x:row r="15" spans="1:30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23" t="s">
        <x:v>63</x:v>
      </x:c>
      <x:c r="I15" s="20"/>
      <x:c r="J15" s="21">
        <x:v>4500</x:v>
      </x:c>
      <x:c r="K15" s="132">
        <x:v>4500</x:v>
      </x:c>
      <x:c r="L15" s="18" t="str">
        <x:f t="shared" si="0"/>
        <x:v>Four Thousand Five Hundred  Dollars and No Cents</x:v>
      </x:c>
      <x:c r="M15" s="22">
        <x:v>44180</x:v>
      </x:c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377</x:v>
      </x:c>
      <x:c r="AB15" s="59">
        <x:f>-AB14*1.39%</x:f>
        <x:v>-4747.1628709931811</x:v>
      </x:c>
      <x:c r="AC15" s="29"/>
    </x:row>
    <x:row r="16" spans="1:30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23" t="s">
        <x:v>109</x:v>
      </x:c>
      <x:c r="I16" s="20"/>
      <x:c r="J16" s="21">
        <x:v>15000</x:v>
      </x:c>
      <x:c r="K16" s="132">
        <x:v>10000</x:v>
      </x:c>
      <x:c r="L16" s="18" t="str">
        <x:f t="shared" si="0"/>
        <x:v>Ten Thousand  Dollars and No Cents</x:v>
      </x:c>
      <x:c r="M16" s="22">
        <x:v>44173</x:v>
      </x:c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X16" s="25">
        <x:v>10000</x:v>
      </x:c>
      <x:c r="AA16" s="54" t="s">
        <x:v>378</x:v>
      </x:c>
      <x:c r="AB16" s="55"/>
      <x:c r="AC16" s="29"/>
    </x:row>
    <x:row r="17" spans="1:30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23" t="s">
        <x:v>116</x:v>
      </x:c>
      <x:c r="I17" s="20"/>
      <x:c r="J17" s="21">
        <x:v>25000</x:v>
      </x:c>
      <x:c r="K17" s="132">
        <x:v>10000</x:v>
      </x:c>
      <x:c r="L17" s="18" t="str">
        <x:f t="shared" si="0"/>
        <x:v>Ten Thousand  Dollars and No Cents</x:v>
      </x:c>
      <x:c r="M17" s="22">
        <x:v>44180</x:v>
      </x:c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376</x:v>
      </x:c>
      <x:c r="AB17" s="26">
        <x:v>-40544</x:v>
      </x:c>
      <x:c r="AC17" s="27" t="s">
        <x:v>41</x:v>
      </x:c>
    </x:row>
    <x:row r="18" spans="1:30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23" t="s">
        <x:v>124</x:v>
      </x:c>
      <x:c r="I18" s="20"/>
      <x:c r="J18" s="21">
        <x:v>1750</x:v>
      </x:c>
      <x:c r="K18" s="132">
        <x:v>2000</x:v>
      </x:c>
      <x:c r="L18" s="18" t="str">
        <x:f t="shared" si="0"/>
        <x:v>Two Thousand  Dollars and No Cents</x:v>
      </x:c>
      <x:c r="M18" s="22">
        <x:v>44180</x:v>
      </x:c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375</x:v>
      </x:c>
      <x:c r="AB18" s="26">
        <x:v>-30641</x:v>
      </x:c>
      <x:c r="AC18" s="27" t="s">
        <x:v>41</x:v>
      </x:c>
    </x:row>
    <x:row r="19" spans="1:30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23" t="s">
        <x:v>131</x:v>
      </x:c>
      <x:c r="I19" s="20"/>
      <x:c r="J19" s="21">
        <x:v>2500</x:v>
      </x:c>
      <x:c r="K19" s="132">
        <x:v>2500</x:v>
      </x:c>
      <x:c r="L19" s="18" t="str">
        <x:f t="shared" si="0"/>
        <x:v>Two Thousand Five Hundred  Dollars and No Cents</x:v>
      </x:c>
      <x:c r="M19" s="22">
        <x:v>44180</x:v>
      </x:c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>
        <x:v>30000</x:v>
      </x:c>
      <x:c r="AC19" s="27" t="s">
        <x:v>41</x:v>
      </x:c>
    </x:row>
    <x:row r="20" spans="1:30" s="110" customFormat="1" x14ac:dyDescent="0.25">
      <x:c r="A20" s="18" t="s">
        <x:v>390</x:v>
      </x:c>
      <x:c r="B20" s="19"/>
      <x:c r="C20" s="18"/>
      <x:c r="D20" s="18" t="s">
        <x:v>135</x:v>
      </x:c>
      <x:c r="E20" s="18" t="s">
        <x:v>136</x:v>
      </x:c>
      <x:c r="F20" s="18"/>
      <x:c r="G20" s="18" t="s">
        <x:v>137</x:v>
      </x:c>
      <x:c r="H20" s="123" t="s">
        <x:v>138</x:v>
      </x:c>
      <x:c r="I20" s="20"/>
      <x:c r="J20" s="21"/>
      <x:c r="K20" s="132"/>
      <x:c r="L20" s="18" t="str">
        <x:f t="shared" si="0"/>
        <x:v>No Dollars and No Cents</x:v>
      </x:c>
      <x:c r="M20" s="22" t="s">
        <x:v>418</x:v>
      </x:c>
      <x:c r="N20" s="18"/>
      <x:c r="O20" s="18" t="s">
        <x:v>36</x:v>
      </x:c>
      <x:c r="P20" s="18" t="s">
        <x:v>401</x:v>
      </x:c>
      <x:c r="Q20" s="18"/>
      <x:c r="R20" s="18"/>
      <x:c r="S20" s="19"/>
      <x:c r="T20" s="18" t="s">
        <x:v>39</x:v>
      </x:c>
      <x:c r="U20" s="18" t="s">
        <x:v>40</x:v>
      </x:c>
      <x:c r="AA20" s="108"/>
      <x:c r="AB20" s="55"/>
      <x:c r="AC20" s="111"/>
    </x:row>
    <x:row r="21" spans="1:30" s="110" customFormat="1" x14ac:dyDescent="0.25">
      <x:c r="A21" s="18" t="s">
        <x:v>390</x:v>
      </x:c>
      <x:c r="B21" s="19"/>
      <x:c r="C21" s="18"/>
      <x:c r="D21" s="18"/>
      <x:c r="E21" s="18"/>
      <x:c r="F21" s="18"/>
      <x:c r="G21" s="18"/>
      <x:c r="H21" s="123"/>
      <x:c r="I21" s="20"/>
      <x:c r="J21" s="21"/>
      <x:c r="K21" s="132"/>
      <x:c r="L21" s="18" t="str">
        <x:f t="shared" si="0"/>
        <x:v>No Dollars and No Cents</x:v>
      </x:c>
      <x:c r="M21" s="22" t="s">
        <x:v>418</x:v>
      </x:c>
      <x:c r="N21" s="18"/>
      <x:c r="O21" s="18"/>
      <x:c r="P21" s="18" t="s">
        <x:v>401</x:v>
      </x:c>
      <x:c r="Q21" s="18"/>
      <x:c r="R21" s="18"/>
      <x:c r="S21" s="19"/>
      <x:c r="T21" s="18"/>
      <x:c r="U21" s="18"/>
      <x:c r="AA21" s="108" t="s">
        <x:v>366</x:v>
      </x:c>
      <x:c r="AB21" s="60">
        <x:f>SUM(AB14:AB19)</x:f>
        <x:v>295590.34583355224</x:v>
      </x:c>
      <x:c r="AC21" s="122" t="s">
        <x:v>384</x:v>
      </x:c>
    </x:row>
    <x:row r="22" spans="1:30" s="110" customFormat="1" x14ac:dyDescent="0.25">
      <x:c r="A22" s="18" t="s">
        <x:v>390</x:v>
      </x:c>
      <x:c r="B22" s="19"/>
      <x:c r="C22" s="18"/>
      <x:c r="D22" s="18" t="str">
        <x:f t="shared" ref="D22:D65" si="1">LEFT(C22,7)</x:f>
        <x:v/>
      </x:c>
      <x:c r="E22" s="18" t="s">
        <x:v>146</x:v>
      </x:c>
      <x:c r="F22" s="18"/>
      <x:c r="G22" s="18" t="s">
        <x:v>147</x:v>
      </x:c>
      <x:c r="H22" s="123">
        <x:v>27217</x:v>
      </x:c>
      <x:c r="I22" s="20"/>
      <x:c r="J22" s="21"/>
      <x:c r="K22" s="132"/>
      <x:c r="L22" s="18" t="str">
        <x:f t="shared" si="0"/>
        <x:v>No Dollars and No Cents</x:v>
      </x:c>
      <x:c r="M22" s="22" t="s">
        <x:v>418</x:v>
      </x:c>
      <x:c r="N22" s="18"/>
      <x:c r="O22" s="18" t="s">
        <x:v>36</x:v>
      </x:c>
      <x:c r="P22" s="18" t="s">
        <x:v>401</x:v>
      </x:c>
      <x:c r="Q22" s="18"/>
      <x:c r="R22" s="18"/>
      <x:c r="S22" s="19"/>
      <x:c r="T22" s="18" t="s">
        <x:v>39</x:v>
      </x:c>
      <x:c r="U22" s="18" t="s">
        <x:v>40</x:v>
      </x:c>
      <x:c r="AA22" s="108" t="s">
        <x:v>139</x:v>
      </x:c>
      <x:c r="AB22" s="61">
        <x:f>-K80</x:f>
        <x:v>-295331</x:v>
      </x:c>
      <x:c r="AC22" s="122" t="s">
        <x:v>398</x:v>
      </x:c>
    </x:row>
    <x:row r="23" spans="1:30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23" t="s">
        <x:v>153</x:v>
      </x:c>
      <x:c r="I23" s="20"/>
      <x:c r="J23" s="21">
        <x:v>10000</x:v>
      </x:c>
      <x:c r="K23" s="132">
        <x:v>10000</x:v>
      </x:c>
      <x:c r="L23" s="18" t="str">
        <x:f t="shared" si="0"/>
        <x:v>Ten Thousand  Dollars and No Cents</x:v>
      </x:c>
      <x:c r="M23" s="22">
        <x:v>44180</x:v>
      </x:c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117">
        <x:f>SUM(AB21:AB22)</x:f>
        <x:v>259.34583355224459</x:v>
      </x:c>
      <x:c r="AC23" s="118" t="s">
        <x:v>385</x:v>
      </x:c>
    </x:row>
    <x:row r="24" spans="1:30" s="110" customFormat="1" ht="15.75" thickTop="1" x14ac:dyDescent="0.25">
      <x:c r="A24" s="18" t="s">
        <x:v>435</x:v>
      </x:c>
      <x:c r="B24" s="19" t="s">
        <x:v>436</x:v>
      </x:c>
      <x:c r="C24" s="18"/>
      <x:c r="D24" s="18"/>
      <x:c r="E24" s="18"/>
      <x:c r="F24" s="18"/>
      <x:c r="G24" s="18"/>
      <x:c r="H24" s="123"/>
      <x:c r="I24" s="20"/>
      <x:c r="J24" s="21"/>
      <x:c r="K24" s="132">
        <x:v>9000</x:v>
      </x:c>
      <x:c r="L24" s="18" t="str">
        <x:f t="shared" si="0"/>
        <x:v>Nine Thousand  Dollars and No Cents</x:v>
      </x:c>
      <x:c r="M24" s="22"/>
      <x:c r="N24" s="18"/>
      <x:c r="O24" s="18" t="s">
        <x:v>36</x:v>
      </x:c>
      <x:c r="P24" s="18" t="s">
        <x:v>37</x:v>
      </x:c>
      <x:c r="Q24" s="18"/>
      <x:c r="R24" s="18"/>
      <x:c r="S24" s="19"/>
      <x:c r="T24" s="18" t="s">
        <x:v>39</x:v>
      </x:c>
      <x:c r="U24" s="18" t="s">
        <x:v>40</x:v>
      </x:c>
      <x:c r="X24" s="110">
        <x:v>9000</x:v>
      </x:c>
      <x:c r="AD24" s="110" t="s">
        <x:v>434</x:v>
      </x:c>
    </x:row>
    <x:row r="25" spans="1:30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124" t="s">
        <x:v>167</x:v>
      </x:c>
      <x:c r="I25" s="77"/>
      <x:c r="J25" s="78">
        <x:v>5000</x:v>
      </x:c>
      <x:c r="K25" s="133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30" s="110" customFormat="1" x14ac:dyDescent="0.25">
      <x:c r="A26" s="18"/>
      <x:c r="B26" s="19"/>
      <x:c r="C26" s="18"/>
      <x:c r="D26" s="18"/>
      <x:c r="E26" s="18"/>
      <x:c r="F26" s="18"/>
      <x:c r="G26" s="18"/>
      <x:c r="H26" s="123"/>
      <x:c r="I26" s="20"/>
      <x:c r="J26" s="21"/>
      <x:c r="K26" s="132"/>
      <x:c r="L26" s="18" t="str">
        <x:f t="shared" si="0"/>
        <x:v>No Dollars and No Cents</x:v>
      </x:c>
      <x:c r="M26" s="22"/>
      <x:c r="N26" s="18"/>
      <x:c r="O26" s="18" t="s">
        <x:v>36</x:v>
      </x:c>
      <x:c r="P26" s="18" t="s">
        <x:v>401</x:v>
      </x:c>
      <x:c r="Q26" s="18"/>
      <x:c r="R26" s="18"/>
      <x:c r="S26" s="19"/>
      <x:c r="T26" s="18" t="s">
        <x:v>39</x:v>
      </x:c>
      <x:c r="U26" s="18" t="s">
        <x:v>40</x:v>
      </x:c>
      <x:c r="AA26" s="34"/>
    </x:row>
    <x:row r="27" spans="1:30" s="38" customFormat="1" ht="60" x14ac:dyDescent="0.2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23" t="s">
        <x:v>182</x:v>
      </x:c>
      <x:c r="I27" s="129"/>
      <x:c r="J27" s="21">
        <x:v>3500</x:v>
      </x:c>
      <x:c r="K27" s="132">
        <x:v>3500</x:v>
      </x:c>
      <x:c r="L27" s="18" t="str">
        <x:f t="shared" si="0"/>
        <x:v>Three Thousand Five Hundred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X27" s="38" t="s">
        <x:v>387</x:v>
      </x:c>
      <x:c r="AA27" s="25"/>
    </x:row>
    <x:row r="28" spans="1:30" s="38" customFormat="1" ht="60" x14ac:dyDescent="0.25">
      <x:c r="A28" s="18" t="s">
        <x:v>176</x:v>
      </x:c>
      <x:c r="B28" s="19" t="s">
        <x:v>177</x:v>
      </x:c>
      <x:c r="C28" s="18" t="s">
        <x:v>178</x:v>
      </x:c>
      <x:c r="D28" s="18" t="s">
        <x:v>179</x:v>
      </x:c>
      <x:c r="E28" s="18" t="s">
        <x:v>180</x:v>
      </x:c>
      <x:c r="F28" s="18"/>
      <x:c r="G28" s="18" t="s">
        <x:v>181</x:v>
      </x:c>
      <x:c r="H28" s="123" t="s">
        <x:v>182</x:v>
      </x:c>
      <x:c r="I28" s="20"/>
      <x:c r="J28" s="21">
        <x:v>5000</x:v>
      </x:c>
      <x:c r="K28" s="132">
        <x:v>5000</x:v>
      </x:c>
      <x:c r="L28" s="18" t="str">
        <x:f t="shared" ref="L28" si="2">SpellNumber(K28)</x:f>
        <x:v>Five Thousand  Dollars and No Cents</x:v>
      </x:c>
      <x:c r="M28" s="22">
        <x:v>44173</x:v>
      </x:c>
      <x:c r="N28" s="35" t="s">
        <x:v>373</x:v>
      </x:c>
      <x:c r="O28" s="35" t="s">
        <x:v>36</x:v>
      </x:c>
      <x:c r="P28" s="35" t="s">
        <x:v>37</x:v>
      </x:c>
      <x:c r="Q28" s="36">
        <x:v>43979</x:v>
      </x:c>
      <x:c r="R28" s="36">
        <x:v>43979</x:v>
      </x:c>
      <x:c r="S28" s="37" t="s">
        <x:v>38</x:v>
      </x:c>
      <x:c r="T28" s="35" t="s">
        <x:v>39</x:v>
      </x:c>
      <x:c r="U28" s="35" t="s">
        <x:v>40</x:v>
      </x:c>
      <x:c r="X28" s="38" t="s">
        <x:v>387</x:v>
      </x:c>
      <x:c r="AA28" s="25"/>
    </x:row>
    <x:row r="29" spans="1:30" s="38" customFormat="1" x14ac:dyDescent="0.25">
      <x:c r="A29" s="18"/>
      <x:c r="B29" s="19"/>
      <x:c r="C29" s="18"/>
      <x:c r="D29" s="18"/>
      <x:c r="E29" s="18"/>
      <x:c r="F29" s="18"/>
      <x:c r="G29" s="18"/>
      <x:c r="H29" s="123"/>
      <x:c r="I29" s="20"/>
      <x:c r="J29" s="21"/>
      <x:c r="K29" s="132"/>
      <x:c r="L29" s="18"/>
      <x:c r="M29" s="22" t="s">
        <x:v>418</x:v>
      </x:c>
      <x:c r="N29" s="35"/>
      <x:c r="O29" s="35"/>
      <x:c r="P29" s="35" t="s">
        <x:v>401</x:v>
      </x:c>
      <x:c r="Q29" s="36"/>
      <x:c r="R29" s="36"/>
      <x:c r="S29" s="37"/>
      <x:c r="T29" s="35"/>
      <x:c r="U29" s="35"/>
      <x:c r="AA29" s="25"/>
    </x:row>
    <x:row r="30" spans="1:30" s="110" customFormat="1" x14ac:dyDescent="0.25">
      <x:c r="A30" s="18"/>
      <x:c r="B30" s="19"/>
      <x:c r="C30" s="18"/>
      <x:c r="D30" s="18" t="str">
        <x:f t="shared" si="1"/>
        <x:v/>
      </x:c>
      <x:c r="E30" s="18"/>
      <x:c r="F30" s="18"/>
      <x:c r="G30" s="18"/>
      <x:c r="H30" s="123"/>
      <x:c r="I30" s="20"/>
      <x:c r="J30" s="21"/>
      <x:c r="K30" s="132"/>
      <x:c r="L30" s="18" t="str">
        <x:f t="shared" si="0"/>
        <x:v>No Dollars and No Cents</x:v>
      </x:c>
      <x:c r="M30" s="22" t="s">
        <x:v>418</x:v>
      </x:c>
      <x:c r="N30" s="18"/>
      <x:c r="O30" s="18" t="s">
        <x:v>36</x:v>
      </x:c>
      <x:c r="P30" s="18" t="s">
        <x:v>37</x:v>
      </x:c>
      <x:c r="Q30" s="18"/>
      <x:c r="R30" s="18"/>
      <x:c r="S30" s="19"/>
      <x:c r="T30" s="18" t="s">
        <x:v>39</x:v>
      </x:c>
      <x:c r="U30" s="18" t="s">
        <x:v>40</x:v>
      </x:c>
      <x:c r="AA30" s="38"/>
    </x:row>
    <x:row r="31" spans="1:30" s="110" customFormat="1" x14ac:dyDescent="0.25">
      <x:c r="A31" s="18"/>
      <x:c r="B31" s="19"/>
      <x:c r="C31" s="18"/>
      <x:c r="D31" s="18"/>
      <x:c r="E31" s="18"/>
      <x:c r="F31" s="18"/>
      <x:c r="G31" s="18"/>
      <x:c r="H31" s="123"/>
      <x:c r="I31" s="20"/>
      <x:c r="J31" s="21"/>
      <x:c r="K31" s="132"/>
      <x:c r="L31" s="18" t="str">
        <x:f t="shared" si="0"/>
        <x:v>No Dollars and No Cents</x:v>
      </x:c>
      <x:c r="M31" s="22" t="s">
        <x:v>418</x:v>
      </x:c>
      <x:c r="N31" s="18"/>
      <x:c r="O31" s="18" t="s">
        <x:v>36</x:v>
      </x:c>
      <x:c r="P31" s="18" t="s">
        <x:v>402</x:v>
      </x:c>
      <x:c r="Q31" s="18"/>
      <x:c r="R31" s="18"/>
      <x:c r="S31" s="19"/>
      <x:c r="T31" s="18" t="s">
        <x:v>39</x:v>
      </x:c>
      <x:c r="U31" s="18" t="s">
        <x:v>40</x:v>
      </x:c>
    </x:row>
    <x:row r="32" spans="1:30" s="38" customFormat="1" x14ac:dyDescent="0.2">
      <x:c r="A32" s="18" t="s">
        <x:v>191</x:v>
      </x:c>
      <x:c r="B32" s="19" t="s">
        <x:v>192</x:v>
      </x:c>
      <x:c r="C32" s="18" t="s">
        <x:v>193</x:v>
      </x:c>
      <x:c r="D32" s="18" t="s">
        <x:v>194</x:v>
      </x:c>
      <x:c r="E32" s="112" t="s">
        <x:v>195</x:v>
      </x:c>
      <x:c r="F32" s="18"/>
      <x:c r="G32" s="18" t="s">
        <x:v>196</x:v>
      </x:c>
      <x:c r="H32" s="123">
        <x:v>33301</x:v>
      </x:c>
      <x:c r="I32" s="20"/>
      <x:c r="J32" s="21">
        <x:v>20000</x:v>
      </x:c>
      <x:c r="K32" s="132">
        <x:v>20000</x:v>
      </x:c>
      <x:c r="L32" s="18" t="str">
        <x:f t="shared" si="0"/>
        <x:v>Twenty  Thousand  Dollars and No Cents</x:v>
      </x:c>
      <x:c r="M32" s="22">
        <x:v>43993</x:v>
      </x:c>
      <x:c r="N32" s="35" t="s">
        <x:v>168</x:v>
      </x:c>
      <x:c r="O32" s="35" t="s">
        <x:v>36</x:v>
      </x:c>
      <x:c r="P32" s="35" t="s">
        <x:v>37</x:v>
      </x:c>
      <x:c r="Q32" s="36">
        <x:v>44013</x:v>
      </x:c>
      <x:c r="R32" s="36">
        <x:v>44013</x:v>
      </x:c>
      <x:c r="S32" s="37" t="s">
        <x:v>38</x:v>
      </x:c>
      <x:c r="T32" s="35" t="s">
        <x:v>39</x:v>
      </x:c>
      <x:c r="U32" s="35" t="s">
        <x:v>40</x:v>
      </x:c>
      <x:c r="AA32" s="110"/>
    </x:row>
    <x:row r="33" spans="1:27" x14ac:dyDescent="0.25">
      <x:c r="A33" s="18" t="s">
        <x:v>416</x:v>
      </x:c>
      <x:c r="B33" s="19"/>
      <x:c r="C33" s="18" t="s">
        <x:v>198</x:v>
      </x:c>
      <x:c r="D33" s="18" t="s">
        <x:v>199</x:v>
      </x:c>
      <x:c r="E33" s="18" t="s">
        <x:v>200</x:v>
      </x:c>
      <x:c r="F33" s="18"/>
      <x:c r="G33" s="18" t="s">
        <x:v>201</x:v>
      </x:c>
      <x:c r="H33" s="123" t="s">
        <x:v>202</x:v>
      </x:c>
      <x:c r="I33" s="20"/>
      <x:c r="J33" s="21">
        <x:v>12500</x:v>
      </x:c>
      <x:c r="K33" s="132">
        <x:v>10000</x:v>
      </x:c>
      <x:c r="L33" s="18" t="str">
        <x:f t="shared" si="0"/>
        <x:v>Ten Thousand  Dollars and No Cents</x:v>
      </x:c>
      <x:c r="M33" s="22" t="s">
        <x:v>417</x:v>
      </x:c>
      <x:c r="N33" s="23"/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  <x:c r="AA33" s="38"/>
    </x:row>
    <x:row r="34" spans="1:27" s="110" customFormat="1" x14ac:dyDescent="0.25">
      <x:c r="A34" s="18"/>
      <x:c r="B34" s="19"/>
      <x:c r="C34" s="18"/>
      <x:c r="D34" s="18"/>
      <x:c r="E34" s="18"/>
      <x:c r="F34" s="18"/>
      <x:c r="G34" s="18"/>
      <x:c r="H34" s="123"/>
      <x:c r="I34" s="20"/>
      <x:c r="J34" s="21"/>
      <x:c r="K34" s="132"/>
      <x:c r="L34" s="18" t="str">
        <x:f t="shared" si="0"/>
        <x:v>No Dollars and No Cents</x:v>
      </x:c>
      <x:c r="M34" s="22" t="s">
        <x:v>418</x:v>
      </x:c>
      <x:c r="N34" s="18"/>
      <x:c r="O34" s="18" t="s">
        <x:v>36</x:v>
      </x:c>
      <x:c r="P34" s="18" t="s">
        <x:v>401</x:v>
      </x:c>
      <x:c r="Q34" s="18"/>
      <x:c r="R34" s="18"/>
      <x:c r="S34" s="19" t="s">
        <x:v>38</x:v>
      </x:c>
      <x:c r="T34" s="18" t="s">
        <x:v>39</x:v>
      </x:c>
      <x:c r="U34" s="18" t="s">
        <x:v>40</x:v>
      </x:c>
    </x:row>
    <x:row r="35" spans="1:27" x14ac:dyDescent="0.25">
      <x:c r="A35" s="18" t="s">
        <x:v>210</x:v>
      </x:c>
      <x:c r="B35" s="19" t="s">
        <x:v>211</x:v>
      </x:c>
      <x:c r="C35" s="18" t="s">
        <x:v>212</x:v>
      </x:c>
      <x:c r="D35" s="18" t="s">
        <x:v>213</x:v>
      </x:c>
      <x:c r="E35" s="18" t="s">
        <x:v>214</x:v>
      </x:c>
      <x:c r="F35" s="18"/>
      <x:c r="G35" s="18" t="s">
        <x:v>108</x:v>
      </x:c>
      <x:c r="H35" s="123" t="s">
        <x:v>215</x:v>
      </x:c>
      <x:c r="I35" s="20"/>
      <x:c r="J35" s="21">
        <x:v>6500</x:v>
      </x:c>
      <x:c r="K35" s="132">
        <x:v>5000</x:v>
      </x:c>
      <x:c r="L35" s="18" t="str">
        <x:f t="shared" si="0"/>
        <x:v>Five Thousand  Dollars and No Cents</x:v>
      </x:c>
      <x:c r="M35" s="22">
        <x:v>44180</x:v>
      </x:c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18" t="s">
        <x:v>420</x:v>
      </x:c>
      <x:c r="B36" s="19" t="s">
        <x:v>217</x:v>
      </x:c>
      <x:c r="C36" s="18" t="s">
        <x:v>218</x:v>
      </x:c>
      <x:c r="D36" s="18" t="s">
        <x:v>219</x:v>
      </x:c>
      <x:c r="E36" s="18" t="s">
        <x:v>220</x:v>
      </x:c>
      <x:c r="F36" s="18"/>
      <x:c r="G36" s="18" t="s">
        <x:v>221</x:v>
      </x:c>
      <x:c r="H36" s="123" t="s">
        <x:v>222</x:v>
      </x:c>
      <x:c r="I36" s="20"/>
      <x:c r="J36" s="21">
        <x:v>7500</x:v>
      </x:c>
      <x:c r="K36" s="132">
        <x:v>7500</x:v>
      </x:c>
      <x:c r="L36" s="18" t="str">
        <x:f t="shared" si="0"/>
        <x:v>Seven Thousand Five Hundred  Dollars and No Cents</x:v>
      </x:c>
      <x:c r="M36" s="22" t="s">
        <x:v>419</x:v>
      </x:c>
      <x:c r="N36" s="23"/>
      <x:c r="O36" s="23" t="s">
        <x:v>36</x:v>
      </x:c>
      <x:c r="P36" s="23" t="s">
        <x:v>37</x:v>
      </x:c>
      <x:c r="Q36" s="23"/>
      <x:c r="R36" s="23"/>
      <x:c r="S36" s="24"/>
      <x:c r="T36" s="23" t="s">
        <x:v>39</x:v>
      </x:c>
      <x:c r="U36" s="23" t="s">
        <x:v>40</x:v>
      </x:c>
    </x:row>
    <x:row r="37" spans="1:27" x14ac:dyDescent="0.25">
      <x:c r="A37" s="18" t="s">
        <x:v>223</x:v>
      </x:c>
      <x:c r="B37" s="19" t="s">
        <x:v>224</x:v>
      </x:c>
      <x:c r="C37" s="18" t="s">
        <x:v>225</x:v>
      </x:c>
      <x:c r="D37" s="18" t="s">
        <x:v>226</x:v>
      </x:c>
      <x:c r="E37" s="18" t="s">
        <x:v>227</x:v>
      </x:c>
      <x:c r="F37" s="18"/>
      <x:c r="G37" s="18" t="s">
        <x:v>62</x:v>
      </x:c>
      <x:c r="H37" s="123" t="s">
        <x:v>228</x:v>
      </x:c>
      <x:c r="I37" s="20"/>
      <x:c r="J37" s="21">
        <x:v>1000</x:v>
      </x:c>
      <x:c r="K37" s="132">
        <x:v>2000</x:v>
      </x:c>
      <x:c r="L37" s="18" t="str">
        <x:f t="shared" si="0"/>
        <x:v>Two Thousand  Dollars and No Cents</x:v>
      </x:c>
      <x:c r="M37" s="22">
        <x:v>44180</x:v>
      </x:c>
      <x:c r="N37" s="23"/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s="110" customFormat="1" x14ac:dyDescent="0.25">
      <x:c r="A38" s="18"/>
      <x:c r="B38" s="19"/>
      <x:c r="C38" s="18"/>
      <x:c r="D38" s="18"/>
      <x:c r="E38" s="18"/>
      <x:c r="F38" s="18"/>
      <x:c r="G38" s="18"/>
      <x:c r="H38" s="123">
        <x:v>21403</x:v>
      </x:c>
      <x:c r="I38" s="20"/>
      <x:c r="J38" s="21"/>
      <x:c r="K38" s="132"/>
      <x:c r="L38" s="18" t="str">
        <x:f t="shared" si="0"/>
        <x:v>No Dollars and No Cents</x:v>
      </x:c>
      <x:c r="M38" s="22" t="s">
        <x:v>418</x:v>
      </x:c>
      <x:c r="N38" s="18"/>
      <x:c r="O38" s="18" t="s">
        <x:v>36</x:v>
      </x:c>
      <x:c r="P38" s="18" t="s">
        <x:v>401</x:v>
      </x:c>
      <x:c r="Q38" s="18"/>
      <x:c r="R38" s="18"/>
      <x:c r="S38" s="19" t="s">
        <x:v>38</x:v>
      </x:c>
      <x:c r="T38" s="18" t="s">
        <x:v>39</x:v>
      </x:c>
      <x:c r="U38" s="18" t="s">
        <x:v>40</x:v>
      </x:c>
    </x:row>
    <x:row r="39" spans="1:27" x14ac:dyDescent="0.25">
      <x:c r="A39" s="18" t="s">
        <x:v>233</x:v>
      </x:c>
      <x:c r="B39" s="19" t="s">
        <x:v>234</x:v>
      </x:c>
      <x:c r="C39" s="18" t="s">
        <x:v>235</x:v>
      </x:c>
      <x:c r="D39" s="18" t="s">
        <x:v>236</x:v>
      </x:c>
      <x:c r="E39" s="18" t="s">
        <x:v>237</x:v>
      </x:c>
      <x:c r="F39" s="18"/>
      <x:c r="G39" s="18" t="s">
        <x:v>47</x:v>
      </x:c>
      <x:c r="H39" s="123" t="s">
        <x:v>238</x:v>
      </x:c>
      <x:c r="I39" s="20"/>
      <x:c r="J39" s="21">
        <x:v>5500</x:v>
      </x:c>
      <x:c r="K39" s="132">
        <x:v>5500</x:v>
      </x:c>
      <x:c r="L39" s="18" t="str">
        <x:f t="shared" si="0"/>
        <x:v>Five Thousand Five Hundred  Dollars and No Cents</x:v>
      </x:c>
      <x:c r="M39" s="22">
        <x:v>44180</x:v>
      </x:c>
      <x:c r="N39" s="23" t="s">
        <x:v>374</x:v>
      </x:c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s="110" customFormat="1" x14ac:dyDescent="0.25">
      <x:c r="A40" s="18"/>
      <x:c r="B40" s="19"/>
      <x:c r="C40" s="18"/>
      <x:c r="D40" s="18"/>
      <x:c r="E40" s="18"/>
      <x:c r="F40" s="18"/>
      <x:c r="G40" s="18"/>
      <x:c r="H40" s="123"/>
      <x:c r="I40" s="20"/>
      <x:c r="J40" s="21"/>
      <x:c r="K40" s="132"/>
      <x:c r="L40" s="18" t="str">
        <x:f t="shared" si="0"/>
        <x:v>No Dollars and No Cents</x:v>
      </x:c>
      <x:c r="M40" s="22" t="s">
        <x:v>418</x:v>
      </x:c>
      <x:c r="N40" s="18" t="s">
        <x:v>373</x:v>
      </x:c>
      <x:c r="O40" s="18" t="s">
        <x:v>36</x:v>
      </x:c>
      <x:c r="P40" s="18" t="s">
        <x:v>401</x:v>
      </x:c>
      <x:c r="Q40" s="18"/>
      <x:c r="R40" s="18"/>
      <x:c r="S40" s="19"/>
      <x:c r="T40" s="18" t="s">
        <x:v>39</x:v>
      </x:c>
      <x:c r="U40" s="18" t="s">
        <x:v>40</x:v>
      </x:c>
    </x:row>
    <x:row r="41" spans="1:27" x14ac:dyDescent="0.25">
      <x:c r="A41" s="18" t="s">
        <x:v>245</x:v>
      </x:c>
      <x:c r="B41" s="19" t="s">
        <x:v>246</x:v>
      </x:c>
      <x:c r="C41" s="18" t="s">
        <x:v>247</x:v>
      </x:c>
      <x:c r="D41" s="18" t="s">
        <x:v>248</x:v>
      </x:c>
      <x:c r="E41" s="18" t="s">
        <x:v>249</x:v>
      </x:c>
      <x:c r="F41" s="18"/>
      <x:c r="G41" s="18" t="s">
        <x:v>108</x:v>
      </x:c>
      <x:c r="H41" s="123" t="s">
        <x:v>250</x:v>
      </x:c>
      <x:c r="I41" s="20"/>
      <x:c r="J41" s="21">
        <x:v>1500</x:v>
      </x:c>
      <x:c r="K41" s="132">
        <x:v>1500</x:v>
      </x:c>
      <x:c r="L41" s="18" t="str">
        <x:f t="shared" si="0"/>
        <x:v>One Thousand Five Hundred  Dollars and No Cents</x:v>
      </x:c>
      <x:c r="M41" s="22">
        <x:v>44180</x:v>
      </x:c>
      <x:c r="N41" s="23"/>
      <x:c r="O41" s="23" t="s">
        <x:v>36</x:v>
      </x:c>
      <x:c r="P41" s="23" t="s">
        <x:v>37</x:v>
      </x:c>
      <x:c r="Q41" s="23"/>
      <x:c r="R41" s="23"/>
      <x:c r="S41" s="24"/>
      <x:c r="T41" s="23" t="s">
        <x:v>39</x:v>
      </x:c>
      <x:c r="U41" s="23" t="s">
        <x:v>40</x:v>
      </x:c>
    </x:row>
    <x:row r="42" spans="1:27" x14ac:dyDescent="0.25">
      <x:c r="A42" s="18" t="s">
        <x:v>251</x:v>
      </x:c>
      <x:c r="B42" s="19" t="s">
        <x:v>252</x:v>
      </x:c>
      <x:c r="C42" s="18" t="s">
        <x:v>253</x:v>
      </x:c>
      <x:c r="D42" s="18" t="s">
        <x:v>254</x:v>
      </x:c>
      <x:c r="E42" s="18" t="s">
        <x:v>256</x:v>
      </x:c>
      <x:c r="G42" s="18" t="s">
        <x:v>257</x:v>
      </x:c>
      <x:c r="H42" s="123" t="s">
        <x:v>258</x:v>
      </x:c>
      <x:c r="I42" s="20"/>
      <x:c r="J42" s="21">
        <x:v>2000</x:v>
      </x:c>
      <x:c r="K42" s="132">
        <x:v>1500</x:v>
      </x:c>
      <x:c r="L42" s="18" t="str">
        <x:f t="shared" si="0"/>
        <x:v>One Thousand Five Hundred  Dollars and No Cents</x:v>
      </x:c>
      <x:c r="M42" s="22">
        <x:v>44180</x:v>
      </x:c>
      <x:c r="N42" s="23" t="s">
        <x:v>373</x:v>
      </x:c>
      <x:c r="O42" s="23" t="s">
        <x:v>36</x:v>
      </x:c>
      <x:c r="P42" s="23" t="s">
        <x:v>37</x:v>
      </x:c>
      <x:c r="Q42" s="23"/>
      <x:c r="R42" s="23"/>
      <x:c r="S42" s="24"/>
      <x:c r="T42" s="23" t="s">
        <x:v>39</x:v>
      </x:c>
      <x:c r="U42" s="23" t="s">
        <x:v>40</x:v>
      </x:c>
    </x:row>
    <x:row r="43" spans="1:27" x14ac:dyDescent="0.25">
      <x:c r="A43" s="18" t="s">
        <x:v>259</x:v>
      </x:c>
      <x:c r="B43" s="19" t="s">
        <x:v>260</x:v>
      </x:c>
      <x:c r="C43" s="18" t="s">
        <x:v>261</x:v>
      </x:c>
      <x:c r="D43" s="18" t="s">
        <x:v>262</x:v>
      </x:c>
      <x:c r="E43" s="18" t="s">
        <x:v>263</x:v>
      </x:c>
      <x:c r="F43" s="18"/>
      <x:c r="G43" s="18" t="s">
        <x:v>47</x:v>
      </x:c>
      <x:c r="H43" s="123" t="s">
        <x:v>264</x:v>
      </x:c>
      <x:c r="I43" s="20"/>
      <x:c r="J43" s="21"/>
      <x:c r="K43" s="132"/>
      <x:c r="L43" s="18" t="str">
        <x:f t="shared" si="0"/>
        <x:v>No Dollars and No Cents</x:v>
      </x:c>
      <x:c r="M43" s="22" t="s">
        <x:v>418</x:v>
      </x:c>
      <x:c r="N43" s="23"/>
      <x:c r="O43" s="23" t="s">
        <x:v>36</x:v>
      </x:c>
      <x:c r="P43" s="23" t="s">
        <x:v>37</x:v>
      </x:c>
      <x:c r="Q43" s="23"/>
      <x:c r="R43" s="23"/>
      <x:c r="S43" s="24" t="s">
        <x:v>38</x:v>
      </x:c>
      <x:c r="T43" s="23" t="s">
        <x:v>39</x:v>
      </x:c>
      <x:c r="U43" s="23" t="s">
        <x:v>40</x:v>
      </x:c>
    </x:row>
    <x:row r="44" spans="1:27" s="110" customFormat="1" x14ac:dyDescent="0.25">
      <x:c r="A44" s="75"/>
      <x:c r="B44" s="76"/>
      <x:c r="C44" s="75"/>
      <x:c r="D44" s="75"/>
      <x:c r="E44" s="75"/>
      <x:c r="F44" s="75"/>
      <x:c r="G44" s="75"/>
      <x:c r="H44" s="124"/>
      <x:c r="I44" s="77"/>
      <x:c r="J44" s="78"/>
      <x:c r="K44" s="133"/>
      <x:c r="L44" s="18" t="str">
        <x:f t="shared" si="0"/>
        <x:v>No Dollars and No Cents</x:v>
      </x:c>
      <x:c r="M44" s="88" t="s">
        <x:v>418</x:v>
      </x:c>
      <x:c r="N44" s="75" t="s">
        <x:v>373</x:v>
      </x:c>
      <x:c r="O44" s="75" t="s">
        <x:v>36</x:v>
      </x:c>
      <x:c r="P44" s="75" t="s">
        <x:v>401</x:v>
      </x:c>
      <x:c r="Q44" s="75"/>
      <x:c r="R44" s="75"/>
      <x:c r="S44" s="76"/>
      <x:c r="T44" s="75" t="s">
        <x:v>39</x:v>
      </x:c>
      <x:c r="U44" s="75" t="s">
        <x:v>40</x:v>
      </x:c>
    </x:row>
    <x:row r="45" spans="1:27" x14ac:dyDescent="0.25">
      <x:c r="A45" s="75" t="s">
        <x:v>269</x:v>
      </x:c>
      <x:c r="B45" s="76" t="s">
        <x:v>270</x:v>
      </x:c>
      <x:c r="C45" s="75" t="s">
        <x:v>271</x:v>
      </x:c>
      <x:c r="D45" s="75" t="s">
        <x:v>272</x:v>
      </x:c>
      <x:c r="E45" s="75" t="s">
        <x:v>273</x:v>
      </x:c>
      <x:c r="F45" s="75"/>
      <x:c r="G45" s="75" t="s">
        <x:v>47</x:v>
      </x:c>
      <x:c r="H45" s="124" t="s">
        <x:v>274</x:v>
      </x:c>
      <x:c r="I45" s="77"/>
      <x:c r="J45" s="78">
        <x:v>3500</x:v>
      </x:c>
      <x:c r="K45" s="133">
        <x:v>5000</x:v>
      </x:c>
      <x:c r="L45" s="18" t="str">
        <x:f t="shared" si="0"/>
        <x:v>Five Thousand  Dollars and No Cents</x:v>
      </x:c>
      <x:c r="M45" s="88">
        <x:v>44180</x:v>
      </x:c>
      <x:c r="N45" s="94"/>
      <x:c r="O45" s="94" t="s">
        <x:v>36</x:v>
      </x:c>
      <x:c r="P45" s="94" t="s">
        <x:v>37</x:v>
      </x:c>
      <x:c r="Q45" s="94"/>
      <x:c r="R45" s="94"/>
      <x:c r="S45" s="95" t="s">
        <x:v>38</x:v>
      </x:c>
      <x:c r="T45" s="94" t="s">
        <x:v>39</x:v>
      </x:c>
      <x:c r="U45" s="94" t="s">
        <x:v>40</x:v>
      </x:c>
    </x:row>
    <x:row r="46" spans="1:27" x14ac:dyDescent="0.25">
      <x:c r="A46" s="75" t="s">
        <x:v>280</x:v>
      </x:c>
      <x:c r="B46" s="76"/>
      <x:c r="C46" s="75"/>
      <x:c r="D46" s="75"/>
      <x:c r="E46" s="75"/>
      <x:c r="F46" s="75"/>
      <x:c r="G46" s="75"/>
      <x:c r="H46" s="124"/>
      <x:c r="I46" s="77"/>
      <x:c r="J46" s="78"/>
      <x:c r="K46" s="133">
        <x:v>500</x:v>
      </x:c>
      <x:c r="L46" s="18"/>
      <x:c r="M46" s="88">
        <x:v>44138</x:v>
      </x:c>
      <x:c r="N46" s="94"/>
      <x:c r="O46" s="94"/>
      <x:c r="P46" s="94" t="s">
        <x:v>401</x:v>
      </x:c>
      <x:c r="Q46" s="94"/>
      <x:c r="R46" s="94"/>
      <x:c r="S46" s="95"/>
      <x:c r="T46" s="94"/>
      <x:c r="U46" s="94"/>
    </x:row>
    <x:row r="47" spans="1:27" s="110" customFormat="1" x14ac:dyDescent="0.25">
      <x:c r="A47" s="18"/>
      <x:c r="B47" s="19"/>
      <x:c r="C47" s="18"/>
      <x:c r="D47" s="18"/>
      <x:c r="E47" s="18"/>
      <x:c r="F47" s="18"/>
      <x:c r="G47" s="18"/>
      <x:c r="H47" s="123"/>
      <x:c r="I47" s="20"/>
      <x:c r="J47" s="21"/>
      <x:c r="K47" s="132"/>
      <x:c r="L47" s="18" t="str">
        <x:f t="shared" si="0"/>
        <x:v>No Dollars and No Cents</x:v>
      </x:c>
      <x:c r="M47" s="22" t="s">
        <x:v>418</x:v>
      </x:c>
      <x:c r="N47" s="18" t="s">
        <x:v>373</x:v>
      </x:c>
      <x:c r="O47" s="18" t="s">
        <x:v>36</x:v>
      </x:c>
      <x:c r="P47" s="18" t="s">
        <x:v>401</x:v>
      </x:c>
      <x:c r="Q47" s="18"/>
      <x:c r="R47" s="18"/>
      <x:c r="S47" s="19"/>
      <x:c r="T47" s="18" t="s">
        <x:v>39</x:v>
      </x:c>
      <x:c r="U47" s="18" t="s">
        <x:v>40</x:v>
      </x:c>
    </x:row>
    <x:row r="48" spans="1:27" s="110" customFormat="1" x14ac:dyDescent="0.25">
      <x:c r="A48" s="18"/>
      <x:c r="B48" s="19"/>
      <x:c r="C48" s="18"/>
      <x:c r="D48" s="18"/>
      <x:c r="E48" s="18"/>
      <x:c r="F48" s="18"/>
      <x:c r="G48" s="18"/>
      <x:c r="H48" s="123">
        <x:v>21701</x:v>
      </x:c>
      <x:c r="I48" s="20"/>
      <x:c r="J48" s="21"/>
      <x:c r="K48" s="132"/>
      <x:c r="L48" s="18" t="str">
        <x:f t="shared" si="0"/>
        <x:v>No Dollars and No Cents</x:v>
      </x:c>
      <x:c r="M48" s="22">
        <x:v>44138</x:v>
      </x:c>
      <x:c r="N48" s="18" t="s">
        <x:v>168</x:v>
      </x:c>
      <x:c r="O48" s="18" t="s">
        <x:v>36</x:v>
      </x:c>
      <x:c r="P48" s="18" t="s">
        <x:v>401</x:v>
      </x:c>
      <x:c r="Q48" s="18"/>
      <x:c r="R48" s="18"/>
      <x:c r="S48" s="19"/>
      <x:c r="T48" s="18"/>
      <x:c r="U48" s="18"/>
    </x:row>
    <x:row r="49" spans="1:27" s="38" customFormat="1" x14ac:dyDescent="0.25">
      <x:c r="A49" s="18" t="s">
        <x:v>286</x:v>
      </x:c>
      <x:c r="B49" s="19" t="s">
        <x:v>287</x:v>
      </x:c>
      <x:c r="C49" s="18" t="s">
        <x:v>288</x:v>
      </x:c>
      <x:c r="D49" s="18" t="s">
        <x:v>289</x:v>
      </x:c>
      <x:c r="E49" s="18" t="s">
        <x:v>290</x:v>
      </x:c>
      <x:c r="F49" s="18"/>
      <x:c r="G49" s="18" t="s">
        <x:v>389</x:v>
      </x:c>
      <x:c r="H49" s="123">
        <x:v>10598</x:v>
      </x:c>
      <x:c r="I49" s="20"/>
      <x:c r="J49" s="21">
        <x:v>2500</x:v>
      </x:c>
      <x:c r="K49" s="132">
        <x:v>2500</x:v>
      </x:c>
      <x:c r="L49" s="18" t="str">
        <x:f t="shared" si="0"/>
        <x:v>Two Thousand Five Hundred  Dollars and No Cents</x:v>
      </x:c>
      <x:c r="M49" s="22">
        <x:v>44075</x:v>
      </x:c>
      <x:c r="N49" s="35" t="s">
        <x:v>373</x:v>
      </x:c>
      <x:c r="O49" s="35" t="s">
        <x:v>36</x:v>
      </x:c>
      <x:c r="P49" s="35" t="s">
        <x:v>37</x:v>
      </x:c>
      <x:c r="Q49" s="35"/>
      <x:c r="R49" s="35"/>
      <x:c r="S49" s="37"/>
      <x:c r="T49" s="35" t="s">
        <x:v>39</x:v>
      </x:c>
      <x:c r="U49" s="35" t="s">
        <x:v>40</x:v>
      </x:c>
      <x:c r="AA49" s="25"/>
    </x:row>
    <x:row r="50" spans="1:27" s="38" customFormat="1" x14ac:dyDescent="0.25">
      <x:c r="A50" s="18" t="s">
        <x:v>286</x:v>
      </x:c>
      <x:c r="B50" s="19" t="s">
        <x:v>287</x:v>
      </x:c>
      <x:c r="C50" s="18" t="s">
        <x:v>288</x:v>
      </x:c>
      <x:c r="D50" s="18" t="s">
        <x:v>289</x:v>
      </x:c>
      <x:c r="E50" s="18" t="s">
        <x:v>290</x:v>
      </x:c>
      <x:c r="F50" s="18"/>
      <x:c r="G50" s="18" t="s">
        <x:v>389</x:v>
      </x:c>
      <x:c r="H50" s="123">
        <x:v>10598</x:v>
      </x:c>
      <x:c r="I50" s="20"/>
      <x:c r="J50" s="21">
        <x:v>2500</x:v>
      </x:c>
      <x:c r="K50" s="132">
        <x:v>4500</x:v>
      </x:c>
      <x:c r="L50" s="18" t="str">
        <x:f t="shared" ref="L50" si="3">SpellNumber(K50)</x:f>
        <x:v>Four Thousand Five Hundred  Dollars and No Cents</x:v>
      </x:c>
      <x:c r="M50" s="22">
        <x:v>44180</x:v>
      </x:c>
      <x:c r="N50" s="35" t="s">
        <x:v>37</x:v>
      </x:c>
      <x:c r="O50" s="35" t="s">
        <x:v>36</x:v>
      </x:c>
      <x:c r="P50" s="35" t="s">
        <x:v>37</x:v>
      </x:c>
      <x:c r="Q50" s="35"/>
      <x:c r="R50" s="35"/>
      <x:c r="S50" s="37"/>
      <x:c r="T50" s="35" t="s">
        <x:v>39</x:v>
      </x:c>
      <x:c r="U50" s="35" t="s">
        <x:v>40</x:v>
      </x:c>
      <x:c r="AA50" s="25"/>
    </x:row>
    <x:row r="51" spans="1:27" s="38" customFormat="1" x14ac:dyDescent="0.25">
      <x:c r="A51" s="18"/>
      <x:c r="B51" s="19"/>
      <x:c r="C51" s="18"/>
      <x:c r="D51" s="18"/>
      <x:c r="E51" s="18"/>
      <x:c r="F51" s="18"/>
      <x:c r="G51" s="18"/>
      <x:c r="H51" s="123"/>
      <x:c r="I51" s="20"/>
      <x:c r="J51" s="21"/>
      <x:c r="K51" s="132"/>
      <x:c r="L51" s="18"/>
      <x:c r="M51" s="22" t="s">
        <x:v>418</x:v>
      </x:c>
      <x:c r="N51" s="35"/>
      <x:c r="O51" s="35"/>
      <x:c r="P51" s="35" t="s">
        <x:v>401</x:v>
      </x:c>
      <x:c r="Q51" s="35"/>
      <x:c r="R51" s="35"/>
      <x:c r="S51" s="37"/>
      <x:c r="T51" s="35"/>
      <x:c r="U51" s="35"/>
      <x:c r="AA51" s="25"/>
    </x:row>
    <x:row r="52" spans="1:27" s="38" customFormat="1" x14ac:dyDescent="0.25">
      <x:c r="A52" s="75" t="s">
        <x:v>292</x:v>
      </x:c>
      <x:c r="B52" s="76" t="s">
        <x:v>293</x:v>
      </x:c>
      <x:c r="C52" s="75" t="s">
        <x:v>294</x:v>
      </x:c>
      <x:c r="D52" s="75"/>
      <x:c r="E52" s="75" t="s">
        <x:v>295</x:v>
      </x:c>
      <x:c r="F52" s="75"/>
      <x:c r="G52" s="75" t="s">
        <x:v>123</x:v>
      </x:c>
      <x:c r="H52" s="124">
        <x:v>20910</x:v>
      </x:c>
      <x:c r="I52" s="77"/>
      <x:c r="J52" s="78">
        <x:v>1000</x:v>
      </x:c>
      <x:c r="K52" s="133">
        <x:v>1000</x:v>
      </x:c>
      <x:c r="L52" s="18" t="str">
        <x:f t="shared" si="0"/>
        <x:v>One Thousand  Dollars and No Cents</x:v>
      </x:c>
      <x:c r="M52" s="88">
        <x:v>43966</x:v>
      </x:c>
      <x:c r="N52" s="96" t="s">
        <x:v>168</x:v>
      </x:c>
      <x:c r="O52" s="96" t="s">
        <x:v>36</x:v>
      </x:c>
      <x:c r="P52" s="96" t="s">
        <x:v>37</x:v>
      </x:c>
      <x:c r="Q52" s="96"/>
      <x:c r="R52" s="96"/>
      <x:c r="S52" s="97"/>
      <x:c r="T52" s="96" t="s">
        <x:v>39</x:v>
      </x:c>
      <x:c r="U52" s="96" t="s">
        <x:v>40</x:v>
      </x:c>
    </x:row>
    <x:row r="53" spans="1:27" s="38" customFormat="1" x14ac:dyDescent="0.25">
      <x:c r="A53" s="75" t="s">
        <x:v>392</x:v>
      </x:c>
      <x:c r="B53" s="76" t="s">
        <x:v>391</x:v>
      </x:c>
      <x:c r="C53" s="75"/>
      <x:c r="D53" s="75"/>
      <x:c r="E53" s="75" t="s">
        <x:v>395</x:v>
      </x:c>
      <x:c r="F53" s="75"/>
      <x:c r="G53" s="75" t="s">
        <x:v>396</x:v>
      </x:c>
      <x:c r="H53" s="124">
        <x:v>36078</x:v>
      </x:c>
      <x:c r="I53" s="77"/>
      <x:c r="J53" s="78"/>
      <x:c r="K53" s="133"/>
      <x:c r="L53" s="18"/>
      <x:c r="M53" s="88" t="s">
        <x:v>418</x:v>
      </x:c>
      <x:c r="N53" s="96"/>
      <x:c r="O53" s="96"/>
      <x:c r="P53" s="96" t="s">
        <x:v>401</x:v>
      </x:c>
      <x:c r="Q53" s="96"/>
      <x:c r="R53" s="96"/>
      <x:c r="S53" s="97"/>
      <x:c r="T53" s="96"/>
      <x:c r="U53" s="96"/>
    </x:row>
    <x:row r="54" spans="1:27" x14ac:dyDescent="0.25">
      <x:c r="A54" s="18" t="s">
        <x:v>296</x:v>
      </x:c>
      <x:c r="B54" s="19" t="s">
        <x:v>297</x:v>
      </x:c>
      <x:c r="C54" s="18" t="s">
        <x:v>298</x:v>
      </x:c>
      <x:c r="D54" s="18" t="s">
        <x:v>299</x:v>
      </x:c>
      <x:c r="E54" s="18" t="s">
        <x:v>300</x:v>
      </x:c>
      <x:c r="F54" s="18"/>
      <x:c r="G54" s="18" t="s">
        <x:v>47</x:v>
      </x:c>
      <x:c r="H54" s="123" t="s">
        <x:v>301</x:v>
      </x:c>
      <x:c r="I54" s="20"/>
      <x:c r="J54" s="21">
        <x:v>3500</x:v>
      </x:c>
      <x:c r="K54" s="132">
        <x:v>3500</x:v>
      </x:c>
      <x:c r="L54" s="18" t="str">
        <x:f t="shared" si="0"/>
        <x:v>Three Thousand Five Hundred  Dollars and No Cents</x:v>
      </x:c>
      <x:c r="M54" s="22">
        <x:v>44180</x:v>
      </x:c>
      <x:c r="N54" s="23"/>
      <x:c r="O54" s="23" t="s">
        <x:v>36</x:v>
      </x:c>
      <x:c r="P54" s="23" t="s">
        <x:v>37</x:v>
      </x:c>
      <x:c r="Q54" s="23"/>
      <x:c r="R54" s="23"/>
      <x:c r="S54" s="24" t="s">
        <x:v>38</x:v>
      </x:c>
      <x:c r="T54" s="23" t="s">
        <x:v>39</x:v>
      </x:c>
      <x:c r="U54" s="23" t="s">
        <x:v>40</x:v>
      </x:c>
      <x:c r="AA54" s="38"/>
    </x:row>
    <x:row r="55" spans="1:27" x14ac:dyDescent="0.25">
      <x:c r="A55" s="18" t="s">
        <x:v>302</x:v>
      </x:c>
      <x:c r="B55" s="19" t="s">
        <x:v>303</x:v>
      </x:c>
      <x:c r="C55" s="18" t="s">
        <x:v>304</x:v>
      </x:c>
      <x:c r="D55" s="18" t="s">
        <x:v>305</x:v>
      </x:c>
      <x:c r="E55" s="18" t="s">
        <x:v>397</x:v>
      </x:c>
      <x:c r="F55" s="18"/>
      <x:c r="G55" s="18" t="s">
        <x:v>108</x:v>
      </x:c>
      <x:c r="H55" s="123">
        <x:v>10017</x:v>
      </x:c>
      <x:c r="I55" s="20"/>
      <x:c r="J55" s="21">
        <x:v>4000</x:v>
      </x:c>
      <x:c r="K55" s="132">
        <x:v>2000</x:v>
      </x:c>
      <x:c r="L55" s="18" t="str">
        <x:f t="shared" si="0"/>
        <x:v>Two Thousand  Dollars and No Cents</x:v>
      </x:c>
      <x:c r="M55" s="22">
        <x:v>44180</x:v>
      </x:c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s="34" customFormat="1" x14ac:dyDescent="0.25">
      <x:c r="A56" s="18" t="s">
        <x:v>308</x:v>
      </x:c>
      <x:c r="B56" s="19" t="s">
        <x:v>309</x:v>
      </x:c>
      <x:c r="C56" s="18" t="s">
        <x:v>310</x:v>
      </x:c>
      <x:c r="D56" s="18" t="s">
        <x:v>311</x:v>
      </x:c>
      <x:c r="E56" s="18" t="s">
        <x:v>312</x:v>
      </x:c>
      <x:c r="F56" s="18"/>
      <x:c r="G56" s="18" t="s">
        <x:v>313</x:v>
      </x:c>
      <x:c r="H56" s="123" t="s">
        <x:v>314</x:v>
      </x:c>
      <x:c r="I56" s="20"/>
      <x:c r="J56" s="21">
        <x:v>12831</x:v>
      </x:c>
      <x:c r="K56" s="132">
        <x:v>12831</x:v>
      </x:c>
      <x:c r="L56" s="18" t="str">
        <x:f t="shared" si="0"/>
        <x:v>Twelve Thousand Eight Hundred Thirty One Dollars and No Cents</x:v>
      </x:c>
      <x:c r="M56" s="22">
        <x:v>43936</x:v>
      </x:c>
      <x:c r="N56" s="32" t="s">
        <x:v>168</x:v>
      </x:c>
      <x:c r="O56" s="32" t="s">
        <x:v>36</x:v>
      </x:c>
      <x:c r="P56" s="32" t="s">
        <x:v>37</x:v>
      </x:c>
      <x:c r="Q56" s="39">
        <x:v>44013</x:v>
      </x:c>
      <x:c r="R56" s="39">
        <x:v>44013</x:v>
      </x:c>
      <x:c r="S56" s="33"/>
      <x:c r="T56" s="32" t="s">
        <x:v>39</x:v>
      </x:c>
      <x:c r="U56" s="32" t="s">
        <x:v>40</x:v>
      </x:c>
      <x:c r="AA56" s="25"/>
    </x:row>
    <x:row r="57" spans="1:27" s="38" customFormat="1" ht="30" x14ac:dyDescent="0.25">
      <x:c r="A57" s="75" t="s">
        <x:v>315</x:v>
      </x:c>
      <x:c r="B57" s="76" t="s">
        <x:v>316</x:v>
      </x:c>
      <x:c r="C57" s="75" t="s">
        <x:v>317</x:v>
      </x:c>
      <x:c r="D57" s="75" t="s">
        <x:v>318</x:v>
      </x:c>
      <x:c r="E57" s="75" t="s">
        <x:v>319</x:v>
      </x:c>
      <x:c r="F57" s="75"/>
      <x:c r="G57" s="75" t="s">
        <x:v>115</x:v>
      </x:c>
      <x:c r="H57" s="124" t="s">
        <x:v>116</x:v>
      </x:c>
      <x:c r="I57" s="77" t="s">
        <x:v>320</x:v>
      </x:c>
      <x:c r="J57" s="78">
        <x:v>1000</x:v>
      </x:c>
      <x:c r="K57" s="133">
        <x:v>1000</x:v>
      </x:c>
      <x:c r="L57" s="18" t="str">
        <x:f t="shared" ref="L57" si="4">SpellNumber(K57)</x:f>
        <x:v>One Thousand  Dollars and No Cents</x:v>
      </x:c>
      <x:c r="M57" s="88">
        <x:v>43837</x:v>
      </x:c>
      <x:c r="N57" s="96" t="s">
        <x:v>168</x:v>
      </x:c>
      <x:c r="O57" s="96" t="s">
        <x:v>36</x:v>
      </x:c>
      <x:c r="P57" s="96" t="s">
        <x:v>37</x:v>
      </x:c>
      <x:c r="Q57" s="98">
        <x:v>43868</x:v>
      </x:c>
      <x:c r="R57" s="98">
        <x:v>43868</x:v>
      </x:c>
      <x:c r="S57" s="97"/>
      <x:c r="T57" s="96" t="s">
        <x:v>39</x:v>
      </x:c>
      <x:c r="U57" s="96" t="s">
        <x:v>40</x:v>
      </x:c>
      <x:c r="AA57" s="34"/>
    </x:row>
    <x:row r="58" spans="1:27" s="34" customFormat="1" x14ac:dyDescent="0.25">
      <x:c r="A58" s="18"/>
      <x:c r="B58" s="19"/>
      <x:c r="C58" s="18"/>
      <x:c r="D58" s="18"/>
      <x:c r="E58" s="18"/>
      <x:c r="F58" s="18"/>
      <x:c r="G58" s="18"/>
      <x:c r="H58" s="123"/>
      <x:c r="I58" s="20"/>
      <x:c r="J58" s="21"/>
      <x:c r="K58" s="132"/>
      <x:c r="L58" s="18"/>
      <x:c r="M58" s="22" t="s">
        <x:v>418</x:v>
      </x:c>
      <x:c r="N58" s="32"/>
      <x:c r="O58" s="32"/>
      <x:c r="P58" s="32" t="s">
        <x:v>401</x:v>
      </x:c>
      <x:c r="Q58" s="39"/>
      <x:c r="R58" s="39"/>
      <x:c r="S58" s="33"/>
      <x:c r="T58" s="32"/>
      <x:c r="U58" s="32"/>
      <x:c r="AA58" s="25"/>
    </x:row>
    <x:row r="59" spans="1:27" s="38" customFormat="1" ht="30" x14ac:dyDescent="0.25">
      <x:c r="A59" s="75" t="s">
        <x:v>315</x:v>
      </x:c>
      <x:c r="B59" s="76" t="s">
        <x:v>316</x:v>
      </x:c>
      <x:c r="C59" s="75" t="s">
        <x:v>317</x:v>
      </x:c>
      <x:c r="D59" s="75" t="s">
        <x:v>318</x:v>
      </x:c>
      <x:c r="E59" s="75" t="s">
        <x:v>319</x:v>
      </x:c>
      <x:c r="F59" s="75"/>
      <x:c r="G59" s="75" t="s">
        <x:v>115</x:v>
      </x:c>
      <x:c r="H59" s="124" t="s">
        <x:v>116</x:v>
      </x:c>
      <x:c r="I59" s="77" t="s">
        <x:v>320</x:v>
      </x:c>
      <x:c r="J59" s="78">
        <x:v>40500</x:v>
      </x:c>
      <x:c r="K59" s="133">
        <x:v>40500</x:v>
      </x:c>
      <x:c r="L59" s="18" t="str">
        <x:f t="shared" si="0"/>
        <x:v>Forty  Thousand Five Hundred  Dollars and No Cents</x:v>
      </x:c>
      <x:c r="M59" s="88">
        <x:v>44180</x:v>
      </x:c>
      <x:c r="N59" s="96" t="s">
        <x:v>168</x:v>
      </x:c>
      <x:c r="O59" s="96" t="s">
        <x:v>36</x:v>
      </x:c>
      <x:c r="P59" s="96" t="s">
        <x:v>37</x:v>
      </x:c>
      <x:c r="Q59" s="98">
        <x:v>43868</x:v>
      </x:c>
      <x:c r="R59" s="98">
        <x:v>43868</x:v>
      </x:c>
      <x:c r="S59" s="97"/>
      <x:c r="T59" s="96" t="s">
        <x:v>39</x:v>
      </x:c>
      <x:c r="U59" s="96" t="s">
        <x:v>40</x:v>
      </x:c>
      <x:c r="AA59" s="34"/>
    </x:row>
    <x:row r="60" spans="1:27" x14ac:dyDescent="0.25">
      <x:c r="A60" s="18" t="s">
        <x:v>321</x:v>
      </x:c>
      <x:c r="B60" s="19" t="s">
        <x:v>322</x:v>
      </x:c>
      <x:c r="C60" s="18" t="s">
        <x:v>323</x:v>
      </x:c>
      <x:c r="D60" s="18" t="s">
        <x:v>324</x:v>
      </x:c>
      <x:c r="E60" s="18" t="s">
        <x:v>325</x:v>
      </x:c>
      <x:c r="F60" s="18"/>
      <x:c r="G60" s="18" t="s">
        <x:v>326</x:v>
      </x:c>
      <x:c r="H60" s="123" t="s">
        <x:v>327</x:v>
      </x:c>
      <x:c r="I60" s="20" t="s">
        <x:v>328</x:v>
      </x:c>
      <x:c r="J60" s="21">
        <x:v>6000</x:v>
      </x:c>
      <x:c r="K60" s="132">
        <x:v>4000</x:v>
      </x:c>
      <x:c r="L60" s="18" t="str">
        <x:f t="shared" si="0"/>
        <x:v>Four Thousand  Dollars and No Cents</x:v>
      </x:c>
      <x:c r="M60" s="22">
        <x:v>44180</x:v>
      </x:c>
      <x:c r="N60" s="23" t="s">
        <x:v>373</x:v>
      </x:c>
      <x:c r="O60" s="23" t="s">
        <x:v>36</x:v>
      </x:c>
      <x:c r="P60" s="23" t="s">
        <x:v>37</x:v>
      </x:c>
      <x:c r="Q60" s="23"/>
      <x:c r="R60" s="23"/>
      <x:c r="S60" s="24" t="s">
        <x:v>38</x:v>
      </x:c>
      <x:c r="T60" s="23" t="s">
        <x:v>39</x:v>
      </x:c>
      <x:c r="U60" s="23" t="s">
        <x:v>40</x:v>
      </x:c>
      <x:c r="AA60" s="38"/>
    </x:row>
    <x:row r="61" spans="1:27" x14ac:dyDescent="0.25">
      <x:c r="A61" s="18" t="s">
        <x:v>329</x:v>
      </x:c>
      <x:c r="B61" s="19" t="s">
        <x:v>330</x:v>
      </x:c>
      <x:c r="C61" s="18" t="s">
        <x:v>331</x:v>
      </x:c>
      <x:c r="D61" s="18" t="s">
        <x:v>332</x:v>
      </x:c>
      <x:c r="E61" s="18" t="s">
        <x:v>333</x:v>
      </x:c>
      <x:c r="F61" s="18"/>
      <x:c r="G61" s="18" t="s">
        <x:v>47</x:v>
      </x:c>
      <x:c r="H61" s="123" t="s">
        <x:v>334</x:v>
      </x:c>
      <x:c r="I61" s="20"/>
      <x:c r="J61" s="21">
        <x:v>12000</x:v>
      </x:c>
      <x:c r="K61" s="132">
        <x:v>15000</x:v>
      </x:c>
      <x:c r="L61" s="18" t="str">
        <x:f t="shared" si="0"/>
        <x:v>Fifteen Thousand  Dollars and No Cents</x:v>
      </x:c>
      <x:c r="M61" s="22">
        <x:v>44180</x:v>
      </x:c>
      <x:c r="N61" s="23" t="s">
        <x:v>373</x:v>
      </x:c>
      <x:c r="O61" s="23" t="s">
        <x:v>36</x:v>
      </x:c>
      <x:c r="P61" s="23" t="s">
        <x:v>37</x:v>
      </x:c>
      <x:c r="Q61" s="23"/>
      <x:c r="R61" s="23"/>
      <x:c r="S61" s="24"/>
      <x:c r="T61" s="23" t="s">
        <x:v>39</x:v>
      </x:c>
      <x:c r="U61" s="23" t="s">
        <x:v>40</x:v>
      </x:c>
    </x:row>
    <x:row r="62" spans="1:27" x14ac:dyDescent="0.25">
      <x:c r="A62" s="18" t="s">
        <x:v>335</x:v>
      </x:c>
      <x:c r="B62" s="19" t="s">
        <x:v>336</x:v>
      </x:c>
      <x:c r="C62" s="18" t="s">
        <x:v>337</x:v>
      </x:c>
      <x:c r="D62" s="18" t="s">
        <x:v>338</x:v>
      </x:c>
      <x:c r="E62" s="18" t="s">
        <x:v>339</x:v>
      </x:c>
      <x:c r="F62" s="18"/>
      <x:c r="G62" s="18" t="s">
        <x:v>47</x:v>
      </x:c>
      <x:c r="H62" s="123" t="s">
        <x:v>340</x:v>
      </x:c>
      <x:c r="I62" s="20"/>
      <x:c r="J62" s="21"/>
      <x:c r="K62" s="132">
        <x:v>15000</x:v>
      </x:c>
      <x:c r="L62" s="18" t="str">
        <x:f t="shared" si="0"/>
        <x:v>Fifteen Thousand  Dollars and No Cents</x:v>
      </x:c>
      <x:c r="M62" s="22">
        <x:v>44180</x:v>
      </x:c>
      <x:c r="N62" s="23"/>
      <x:c r="O62" s="23" t="s">
        <x:v>36</x:v>
      </x:c>
      <x:c r="P62" s="23" t="s">
        <x:v>37</x:v>
      </x:c>
      <x:c r="Q62" s="23"/>
      <x:c r="R62" s="23"/>
      <x:c r="S62" s="24"/>
      <x:c r="T62" s="23" t="s">
        <x:v>39</x:v>
      </x:c>
      <x:c r="U62" s="23" t="s">
        <x:v>40</x:v>
      </x:c>
    </x:row>
    <x:row r="63" spans="1:27" x14ac:dyDescent="0.25">
      <x:c r="A63" s="18" t="s">
        <x:v>341</x:v>
      </x:c>
      <x:c r="B63" s="19" t="s">
        <x:v>342</x:v>
      </x:c>
      <x:c r="C63" s="18" t="s">
        <x:v>343</x:v>
      </x:c>
      <x:c r="D63" s="18" t="s">
        <x:v>344</x:v>
      </x:c>
      <x:c r="E63" s="18" t="s">
        <x:v>345</x:v>
      </x:c>
      <x:c r="F63" s="18"/>
      <x:c r="G63" s="18" t="s">
        <x:v>47</x:v>
      </x:c>
      <x:c r="H63" s="123" t="s">
        <x:v>346</x:v>
      </x:c>
      <x:c r="I63" s="20"/>
      <x:c r="J63" s="21">
        <x:v>1500</x:v>
      </x:c>
      <x:c r="K63" s="132">
        <x:v>1500</x:v>
      </x:c>
      <x:c r="L63" s="18" t="str">
        <x:f t="shared" si="0"/>
        <x:v>One Thousand Five Hundred  Dollars and No Cents</x:v>
      </x:c>
      <x:c r="M63" s="22">
        <x:v>44180</x:v>
      </x:c>
      <x:c r="N63" s="23"/>
      <x:c r="O63" s="23" t="s">
        <x:v>36</x:v>
      </x:c>
      <x:c r="P63" s="23" t="s">
        <x:v>37</x:v>
      </x:c>
      <x:c r="Q63" s="23"/>
      <x:c r="R63" s="23"/>
      <x:c r="S63" s="24"/>
      <x:c r="T63" s="23" t="s">
        <x:v>39</x:v>
      </x:c>
      <x:c r="U63" s="23" t="s">
        <x:v>40</x:v>
      </x:c>
    </x:row>
    <x:row r="64" spans="1:27" s="113" customFormat="1" x14ac:dyDescent="0.25">
      <x:c r="A64" s="75" t="s">
        <x:v>347</x:v>
      </x:c>
      <x:c r="B64" s="76" t="s">
        <x:v>348</x:v>
      </x:c>
      <x:c r="C64" s="75" t="s">
        <x:v>372</x:v>
      </x:c>
      <x:c r="D64" s="75" t="s">
        <x:v>349</x:v>
      </x:c>
      <x:c r="E64" s="75" t="s">
        <x:v>350</x:v>
      </x:c>
      <x:c r="F64" s="75"/>
      <x:c r="G64" s="75" t="s">
        <x:v>115</x:v>
      </x:c>
      <x:c r="H64" s="124" t="s">
        <x:v>116</x:v>
      </x:c>
      <x:c r="I64" s="77"/>
      <x:c r="J64" s="78">
        <x:v>25000</x:v>
      </x:c>
      <x:c r="K64" s="133">
        <x:v>25000</x:v>
      </x:c>
      <x:c r="L64" s="75" t="str">
        <x:f t="shared" si="0"/>
        <x:v>Twenty Five Thousand  Dollars and No Cents</x:v>
      </x:c>
      <x:c r="M64" s="88">
        <x:v>44180</x:v>
      </x:c>
      <x:c r="N64" s="94"/>
      <x:c r="O64" s="94" t="s">
        <x:v>36</x:v>
      </x:c>
      <x:c r="P64" s="94" t="s">
        <x:v>37</x:v>
      </x:c>
      <x:c r="Q64" s="94"/>
      <x:c r="R64" s="94"/>
      <x:c r="S64" s="95"/>
      <x:c r="T64" s="94" t="s">
        <x:v>39</x:v>
      </x:c>
      <x:c r="U64" s="94" t="s">
        <x:v>40</x:v>
      </x:c>
    </x:row>
    <x:row r="65" spans="1:27" s="110" customFormat="1" x14ac:dyDescent="0.25">
      <x:c r="A65" s="18"/>
      <x:c r="B65" s="19"/>
      <x:c r="C65" s="18"/>
      <x:c r="D65" s="18" t="str">
        <x:f t="shared" si="1"/>
        <x:v/>
      </x:c>
      <x:c r="E65" s="18"/>
      <x:c r="F65" s="18"/>
      <x:c r="G65" s="18"/>
      <x:c r="H65" s="123"/>
      <x:c r="I65" s="20"/>
      <x:c r="J65" s="21"/>
      <x:c r="K65" s="132"/>
      <x:c r="L65" s="18" t="str">
        <x:f t="shared" si="0"/>
        <x:v>No Dollars and No Cents</x:v>
      </x:c>
      <x:c r="M65" s="22" t="s">
        <x:v>418</x:v>
      </x:c>
      <x:c r="N65" s="18"/>
      <x:c r="O65" s="18" t="s">
        <x:v>36</x:v>
      </x:c>
      <x:c r="P65" s="18" t="s">
        <x:v>401</x:v>
      </x:c>
      <x:c r="Q65" s="18"/>
      <x:c r="R65" s="18"/>
      <x:c r="S65" s="19"/>
      <x:c r="T65" s="18" t="s">
        <x:v>39</x:v>
      </x:c>
      <x:c r="U65" s="18" t="s">
        <x:v>40</x:v>
      </x:c>
    </x:row>
    <x:row r="66" spans="1:27" x14ac:dyDescent="0.25">
      <x:c r="A66" s="18" t="s">
        <x:v>353</x:v>
      </x:c>
      <x:c r="B66" s="19" t="s">
        <x:v>354</x:v>
      </x:c>
      <x:c r="C66" s="18" t="s">
        <x:v>414</x:v>
      </x:c>
      <x:c r="D66" s="18" t="s">
        <x:v>415</x:v>
      </x:c>
      <x:c r="E66" s="18" t="s">
        <x:v>411</x:v>
      </x:c>
      <x:c r="F66" s="18"/>
      <x:c r="G66" s="18" t="s">
        <x:v>412</x:v>
      </x:c>
      <x:c r="H66" s="123" t="s">
        <x:v>413</x:v>
      </x:c>
      <x:c r="I66" s="20"/>
      <x:c r="J66" s="21">
        <x:v>3075</x:v>
      </x:c>
      <x:c r="K66" s="132">
        <x:v>3000</x:v>
      </x:c>
      <x:c r="L66" s="18" t="str">
        <x:f t="shared" si="0"/>
        <x:v>Three Thousand  Dollars and No Cents</x:v>
      </x:c>
      <x:c r="M66" s="22">
        <x:v>44180</x:v>
      </x:c>
      <x:c r="N66" s="23" t="s">
        <x:v>373</x:v>
      </x:c>
      <x:c r="O66" s="23" t="s">
        <x:v>36</x:v>
      </x:c>
      <x:c r="P66" s="23" t="s">
        <x:v>37</x:v>
      </x:c>
      <x:c r="Q66" s="23"/>
      <x:c r="R66" s="23"/>
      <x:c r="S66" s="24" t="s">
        <x:v>38</x:v>
      </x:c>
      <x:c r="T66" s="23" t="s">
        <x:v>39</x:v>
      </x:c>
      <x:c r="U66" s="23" t="s">
        <x:v>40</x:v>
      </x:c>
    </x:row>
    <x:row r="67" spans="1:27" s="38" customFormat="1" x14ac:dyDescent="0.25">
      <x:c r="A67" s="18" t="s">
        <x:v>403</x:v>
      </x:c>
      <x:c r="B67" s="19" t="s">
        <x:v>410</x:v>
      </x:c>
      <x:c r="C67" s="18" t="s">
        <x:v>408</x:v>
      </x:c>
      <x:c r="D67" s="18" t="s">
        <x:v>409</x:v>
      </x:c>
      <x:c r="E67" s="18" t="s">
        <x:v>404</x:v>
      </x:c>
      <x:c r="F67" s="18"/>
      <x:c r="G67" s="18" t="s">
        <x:v>405</x:v>
      </x:c>
      <x:c r="H67" s="123">
        <x:v>20850</x:v>
      </x:c>
      <x:c r="I67" s="20"/>
      <x:c r="J67" s="21"/>
      <x:c r="K67" s="132">
        <x:v>4000</x:v>
      </x:c>
      <x:c r="L67" s="18" t="str">
        <x:f>SpellNumber(K67)</x:f>
        <x:v>Four Thousand  Dollars and No Cents</x:v>
      </x:c>
      <x:c r="M67" s="22"/>
      <x:c r="N67" s="35"/>
      <x:c r="O67" s="35" t="s">
        <x:v>36</x:v>
      </x:c>
      <x:c r="P67" s="35"/>
      <x:c r="Q67" s="35"/>
      <x:c r="R67" s="35"/>
      <x:c r="S67" s="37"/>
      <x:c r="T67" s="35" t="s">
        <x:v>406</x:v>
      </x:c>
      <x:c r="U67" s="35" t="s">
        <x:v>407</x:v>
      </x:c>
      <x:c r="X67" s="38">
        <x:v>4000</x:v>
      </x:c>
      <x:c r="AA67" s="25"/>
    </x:row>
    <x:row r="68" spans="1:27" x14ac:dyDescent="0.25">
      <x:c r="J68" s="43"/>
      <x:c r="N68" s="40" t="s">
        <x:v>37</x:v>
      </x:c>
    </x:row>
    <x:row r="69" spans="1:27" x14ac:dyDescent="0.25">
      <x:c r="J69" s="47"/>
      <x:c r="K69" s="134"/>
      <x:c r="L69" s="48"/>
    </x:row>
    <x:row r="70" spans="1:27" x14ac:dyDescent="0.25">
      <x:c r="J70" s="49"/>
      <x:c r="K70" s="134"/>
      <x:c r="L70" s="50"/>
    </x:row>
    <x:row r="71" spans="1:27" x14ac:dyDescent="0.25">
      <x:c r="A71" s="51"/>
      <x:c r="J71" s="43"/>
    </x:row>
    <x:row r="72" spans="1:27" x14ac:dyDescent="0.25">
      <x:c r="A72" s="51"/>
      <x:c r="J72" s="43"/>
    </x:row>
    <x:row r="75" spans="1:27" x14ac:dyDescent="0.25">
      <x:c r="A75" s="51"/>
    </x:row>
    <x:row r="76" spans="1:27" x14ac:dyDescent="0.25">
      <x:c r="A76" s="51"/>
    </x:row>
    <x:row r="77" spans="1:27" x14ac:dyDescent="0.25">
      <x:c r="A77" s="51"/>
    </x:row>
    <x:row r="80" spans="1:27" x14ac:dyDescent="0.25">
      <x:c r="K80" s="115">
        <x:f>SUM(K4:K79)</x:f>
        <x:v>295331</x:v>
      </x:c>
    </x:row>
  </x:sheetData>
  <x:protectedRanges>
    <x:protectedRange password="DE73" sqref="E42 A4:D68 G4:U68 E4:F41 E43:F68" name="Range1"/>
  </x:protectedRanges>
  <x:autoFilter ref="A3:AD3" xr:uid="{00000000-0009-0000-0000-000000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9" xr:uid="{00000000-0002-0000-0000-000000000000}">
      <x:formula1>$N$1:$N$2</x:formula1>
    </x:dataValidation>
  </x:dataValidations>
  <x:hyperlinks>
    <x:hyperlink ref="C11" r:id="rId1" xr:uid="{85C327E9-5797-43D4-8F53-9337A50EEC55}"/>
  </x:hyperlinks>
  <x:pageMargins left="0.7" right="0.7" top="0.75" bottom="0.75" header="0.3" footer="0.3"/>
  <x:pageSetup paperSize="5" orientation="landscape" r:id="rId2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 codeName="Sheet10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1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100-000000000000}">
      <x:formula1>$N$1:$N$2</x:formula1>
    </x:dataValidation>
  </x:dataValidations>
  <x:pageMargins left="0.7" right="0.7" top="0.75" bottom="0.75" header="0.3" footer="0.3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200-000000000000}" mc:Ignorable="x14ac xr xr2 xr3">
  <x:sheetPr codeName="Sheet9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2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200-000000000000}">
      <x:formula1>$N$1:$N$2</x:formula1>
    </x:dataValidation>
  </x:dataValidations>
  <x:pageMargins left="0.7" right="0.7" top="0.75" bottom="0.75" header="0.3" footer="0.3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300-000000000000}" mc:Ignorable="x14ac xr xr2 xr3">
  <x:sheetPr codeName="Sheet8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3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300-000000000000}">
      <x:formula1>$N$1:$N$2</x:formula1>
    </x:dataValidation>
  </x:dataValidations>
  <x:pageMargins left="0.7" right="0.7" top="0.75" bottom="0.75" header="0.3" footer="0.3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400-000000000000}" mc:Ignorable="x14ac xr xr2 xr3">
  <x:sheetPr codeName="Sheet7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4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400-000000000000}">
      <x:formula1>$N$1:$N$2</x:formula1>
    </x:dataValidation>
  </x:dataValidations>
  <x:pageMargins left="0.7" right="0.7" top="0.75" bottom="0.75" header="0.3" footer="0.3"/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500-000000000000}" mc:Ignorable="x14ac xr xr2 xr3">
  <x:sheetPr codeName="Sheet6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5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500-000000000000}">
      <x:formula1>$N$1:$N$2</x:formula1>
    </x:dataValidation>
  </x:dataValidations>
  <x:pageMargins left="0.7" right="0.7" top="0.75" bottom="0.75" header="0.3" footer="0.3"/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600-000000000000}" mc:Ignorable="x14ac xr xr2 xr3">
  <x:sheetPr codeName="Sheet5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6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600-000000000000}">
      <x:formula1>$N$1:$N$2</x:formula1>
    </x:dataValidation>
  </x:dataValidations>
  <x:pageMargins left="0.7" right="0.7" top="0.75" bottom="0.75" header="0.3" footer="0.3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700-000000000000}" mc:Ignorable="x14ac xr xr2 xr3">
  <x:sheetPr codeName="Sheet4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7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700-000000000000}">
      <x:formula1>$N$1:$N$2</x:formula1>
    </x:dataValidation>
  </x:dataValidations>
  <x:pageMargins left="0.7" right="0.7" top="0.75" bottom="0.75" header="0.3" footer="0.3"/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800-000000000000}" mc:Ignorable="x14ac xr xr2 xr3">
  <x:sheetPr codeName="Sheet3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8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800-000000000000}">
      <x:formula1>$N$1:$N$2</x:formula1>
    </x:dataValidation>
  </x:dataValidations>
  <x:pageMargins left="0.7" right="0.7" top="0.75" bottom="0.75" header="0.3" footer="0.3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900-000000000000}" mc:Ignorable="x14ac xr xr2 xr3">
  <x:sheetPr codeName="Sheet2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9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900-000000000000}">
      <x:formula1>$N$1:$N$2</x:formula1>
    </x:dataValidation>
  </x:dataValidations>
  <x:pageMargins left="0.7" right="0.7" top="0.75" bottom="0.75" header="0.3" footer="0.3"/>
</x:worksheet>
</file>

<file path=xl/worksheets/sheet1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A00-000000000000}" mc:Ignorable="x14ac xr xr2 xr3">
  <x:sheetPr codeName="Sheet11"/>
  <x:dimension ref="A1:AC68"/>
  <x:sheetViews>
    <x:sheetView workbookViewId="0">
      <x:pane xSplit="1" ySplit="3" topLeftCell="B4" activePane="bottomRight" state="frozen"/>
      <x:selection pane="topRight" activeCell="B1" sqref="B1"/>
      <x:selection pane="bottomLeft" activeCell="A4" sqref="A4"/>
      <x:selection pane="bottomRight" activeCell="A2" sqref="A2"/>
    </x:sheetView>
  </x:sheetViews>
  <x:sheetFormatPr defaultColWidth="9.140625" defaultRowHeight="15" x14ac:dyDescent="0.25"/>
  <x:cols>
    <x:col min="1" max="1" width="28.28515625" style="40" customWidth="1"/>
    <x:col min="2" max="2" width="12.28515625" style="41" customWidth="1"/>
    <x:col min="3" max="3" width="36.5703125" style="42" customWidth="1"/>
    <x:col min="4" max="4" width="20.85546875" style="42" customWidth="1"/>
    <x:col min="5" max="5" width="20.42578125" style="42" customWidth="1"/>
    <x:col min="6" max="6" width="18.7109375" style="42" customWidth="1"/>
    <x:col min="7" max="7" width="21.5703125" style="42" customWidth="1"/>
    <x:col min="8" max="8" width="23.42578125" style="42" customWidth="1"/>
    <x:col min="9" max="9" width="27.28515625" style="42" customWidth="1"/>
    <x:col min="10" max="10" width="16.42578125" style="42" customWidth="1"/>
    <x:col min="11" max="11" width="13.28515625" style="43" customWidth="1"/>
    <x:col min="12" max="12" width="48.140625" style="44" customWidth="1"/>
    <x:col min="13" max="13" width="12.140625" style="45" customWidth="1"/>
    <x:col min="14" max="14" width="11" style="40" customWidth="1"/>
    <x:col min="15" max="15" width="35" style="42" customWidth="1"/>
    <x:col min="16" max="16" width="4.140625" style="40" customWidth="1"/>
    <x:col min="17" max="17" width="17.85546875" style="42" customWidth="1"/>
    <x:col min="18" max="18" width="13.5703125" style="42" customWidth="1"/>
    <x:col min="19" max="19" width="10.42578125" style="46" customWidth="1"/>
    <x:col min="20" max="20" width="11.140625" style="42" customWidth="1"/>
    <x:col min="21" max="21" width="12" style="42" customWidth="1"/>
    <x:col min="22" max="26" width="9.140625" style="25"/>
    <x:col min="27" max="27" width="37.140625" style="25" customWidth="1"/>
    <x:col min="28" max="28" width="11.7109375" style="25" bestFit="1" customWidth="1"/>
    <x:col min="29" max="29" width="8.5703125" style="25" bestFit="1" customWidth="1"/>
    <x:col min="30" max="16384" width="9.140625" style="25"/>
  </x:cols>
  <x:sheetData>
    <x:row r="1" spans="1:29" s="3" customFormat="1" ht="105" x14ac:dyDescent="0.35">
      <x:c r="A1" s="1" t="s">
        <x:v>0</x:v>
      </x:c>
      <x:c r="B1" s="135"/>
      <x:c r="C1" s="135"/>
      <x:c r="D1" s="2"/>
      <x:c r="E1" s="2"/>
      <x:c r="F1" s="2"/>
      <x:c r="G1" s="103" t="s">
        <x:v>25</x:v>
      </x:c>
      <x:c r="H1" s="103" t="s">
        <x:v>368</x:v>
      </x:c>
      <x:c r="I1" s="103" t="s">
        <x:v>369</x:v>
      </x:c>
      <x:c r="J1" s="103" t="s">
        <x:v>370</x:v>
      </x:c>
      <x:c r="K1" s="104" t="s">
        <x:v>371</x:v>
      </x:c>
      <x:c r="M1" s="4"/>
      <x:c r="N1" s="102">
        <x:v/>
      </x:c>
      <x:c r="O1" s="6"/>
      <x:c r="P1" s="5"/>
      <x:c r="Q1" s="6"/>
      <x:c r="R1" s="6"/>
      <x:c r="S1" s="7"/>
      <x:c r="T1" s="6"/>
      <x:c r="U1" s="6"/>
    </x:row>
    <x:row r="2" spans="1:29" s="3" customFormat="1" ht="21" x14ac:dyDescent="0.35">
      <x:c r="A2" s="8"/>
      <x:c r="B2" s="136"/>
      <x:c r="C2" s="136"/>
      <x:c r="D2" s="63"/>
      <x:c r="E2" s="64"/>
      <x:c r="F2" s="9"/>
      <x:c r="G2" s="65"/>
      <x:c r="H2" s="65"/>
      <x:c r="I2" s="66">
        <x:f>AB21</x:f>
        <x:v>0</x:v>
      </x:c>
      <x:c r="J2" s="66"/>
      <x:c r="K2" s="105">
        <x:f>AB23</x:f>
        <x:v>0</x:v>
      </x:c>
      <x:c r="M2" s="4"/>
      <x:c r="N2" s="102">
        <x:v/>
      </x:c>
      <x:c r="O2" s="6"/>
      <x:c r="P2" s="5"/>
      <x:c r="Q2" s="6"/>
      <x:c r="R2" s="6"/>
      <x:c r="S2" s="7"/>
      <x:c r="T2" s="6"/>
      <x:c r="U2" s="6"/>
      <x:c r="AA2" s="52" t="s">
        <x:v>1</x:v>
      </x:c>
      <x:c r="AB2" s="10" t="s">
        <x:v>2</x:v>
      </x:c>
      <x:c r="AC2" s="11" t="s">
        <x:v>3</x:v>
      </x:c>
    </x:row>
    <x:row r="3" spans="1:29" s="15" customFormat="1" ht="45" x14ac:dyDescent="0.25">
      <x:c r="A3" s="12" t="s">
        <x:v>4</x:v>
      </x:c>
      <x:c r="B3" s="12" t="s">
        <x:v>5</x:v>
      </x:c>
      <x:c r="C3" s="12" t="s">
        <x:v>6</x:v>
      </x:c>
      <x:c r="D3" s="12" t="s">
        <x:v>7</x:v>
      </x:c>
      <x:c r="E3" s="12" t="s">
        <x:v>8</x:v>
      </x:c>
      <x:c r="F3" s="12" t="s">
        <x:v>9</x:v>
      </x:c>
      <x:c r="G3" s="12" t="s">
        <x:v>10</x:v>
      </x:c>
      <x:c r="H3" s="12" t="s">
        <x:v>11</x:v>
      </x:c>
      <x:c r="I3" s="12" t="s">
        <x:v>12</x:v>
      </x:c>
      <x:c r="J3" s="12" t="s">
        <x:v>13</x:v>
      </x:c>
      <x:c r="K3" s="13" t="s">
        <x:v>14</x:v>
      </x:c>
      <x:c r="L3" s="12" t="s">
        <x:v>15</x:v>
      </x:c>
      <x:c r="M3" s="14" t="s">
        <x:v>16</x:v>
      </x:c>
      <x:c r="N3" s="12" t="s">
        <x:v>17</x:v>
      </x:c>
      <x:c r="O3" s="12" t="s">
        <x:v>18</x:v>
      </x:c>
      <x:c r="P3" s="12" t="s">
        <x:v>19</x:v>
      </x:c>
      <x:c r="Q3" s="12" t="s">
        <x:v>20</x:v>
      </x:c>
      <x:c r="R3" s="12" t="s">
        <x:v>21</x:v>
      </x:c>
      <x:c r="S3" s="12" t="s">
        <x:v>22</x:v>
      </x:c>
      <x:c r="T3" s="12" t="s">
        <x:v>23</x:v>
      </x:c>
      <x:c r="U3" s="12" t="s">
        <x:v>24</x:v>
      </x:c>
      <x:c r="AA3" s="53"/>
      <x:c r="AB3" s="16"/>
      <x:c r="AC3" s="17"/>
    </x:row>
    <x:row r="4" spans="1:29" x14ac:dyDescent="0.25">
      <x:c r="A4" s="18" t="s">
        <x:v>27</x:v>
      </x:c>
      <x:c r="B4" s="19" t="s">
        <x:v>28</x:v>
      </x:c>
      <x:c r="C4" s="18" t="s">
        <x:v>29</x:v>
      </x:c>
      <x:c r="D4" s="18" t="s">
        <x:v>30</x:v>
      </x:c>
      <x:c r="E4" s="18" t="s">
        <x:v>31</x:v>
      </x:c>
      <x:c r="F4" s="18" t="s">
        <x:v>32</x:v>
      </x:c>
      <x:c r="G4" s="18" t="s">
        <x:v>33</x:v>
      </x:c>
      <x:c r="H4" s="18" t="s">
        <x:v>34</x:v>
      </x:c>
      <x:c r="I4" s="20" t="s">
        <x:v>35</x:v>
      </x:c>
      <x:c r="J4" s="21">
        <x:v>1000</x:v>
      </x:c>
      <x:c r="K4" s="21">
        <x:v>1000</x:v>
      </x:c>
      <x:c r="L4" s="18" t="str">
        <x:f>SpellNumber(K4)</x:f>
        <x:v>One Thousand  Dollars and No Cents</x:v>
      </x:c>
      <x:c r="M4" s="22"/>
      <x:c r="N4" s="23"/>
      <x:c r="O4" s="23" t="s">
        <x:v>36</x:v>
      </x:c>
      <x:c r="P4" s="23" t="s">
        <x:v>37</x:v>
      </x:c>
      <x:c r="Q4" s="23"/>
      <x:c r="R4" s="23"/>
      <x:c r="S4" s="24" t="s">
        <x:v>38</x:v>
      </x:c>
      <x:c r="T4" s="23" t="s">
        <x:v>39</x:v>
      </x:c>
      <x:c r="U4" s="23" t="s">
        <x:v>40</x:v>
      </x:c>
      <x:c r="AA4" s="54"/>
      <x:c r="AB4" s="26"/>
      <x:c r="AC4" s="27"/>
    </x:row>
    <x:row r="5" spans="1:29" x14ac:dyDescent="0.25">
      <x:c r="A5" s="18" t="s">
        <x:v>42</x:v>
      </x:c>
      <x:c r="B5" s="19" t="s">
        <x:v>43</x:v>
      </x:c>
      <x:c r="C5" s="18" t="s">
        <x:v>44</x:v>
      </x:c>
      <x:c r="D5" s="18" t="s">
        <x:v>45</x:v>
      </x:c>
      <x:c r="E5" s="18" t="s">
        <x:v>46</x:v>
      </x:c>
      <x:c r="F5" s="18"/>
      <x:c r="G5" s="18" t="s">
        <x:v>47</x:v>
      </x:c>
      <x:c r="H5" s="18" t="s">
        <x:v>48</x:v>
      </x:c>
      <x:c r="I5" s="20"/>
      <x:c r="J5" s="21">
        <x:v>2500</x:v>
      </x:c>
      <x:c r="K5" s="21">
        <x:v>2500</x:v>
      </x:c>
      <x:c r="L5" s="18" t="str">
        <x:f t="shared" ref="L5:L58" si="0">SpellNumber(K5)</x:f>
        <x:v>Two Thousand Five Hundred  Dollars and No Cents</x:v>
      </x:c>
      <x:c r="M5" s="22"/>
      <x:c r="N5" s="23"/>
      <x:c r="O5" s="23" t="s">
        <x:v>36</x:v>
      </x:c>
      <x:c r="P5" s="23" t="s">
        <x:v>37</x:v>
      </x:c>
      <x:c r="Q5" s="23"/>
      <x:c r="R5" s="23"/>
      <x:c r="S5" s="24"/>
      <x:c r="T5" s="23" t="s">
        <x:v>39</x:v>
      </x:c>
      <x:c r="U5" s="23" t="s">
        <x:v>40</x:v>
      </x:c>
      <x:c r="AA5" s="54" t="s">
        <x:v>356</x:v>
      </x:c>
      <x:c r="AB5" s="28"/>
      <x:c r="AC5" s="27" t="s">
        <x:v>41</x:v>
      </x:c>
    </x:row>
    <x:row r="6" spans="1:29" x14ac:dyDescent="0.25">
      <x:c r="A6" s="67" t="s">
        <x:v>49</x:v>
      </x:c>
      <x:c r="B6" s="68"/>
      <x:c r="C6" s="67"/>
      <x:c r="D6" s="67"/>
      <x:c r="E6" s="67"/>
      <x:c r="F6" s="67"/>
      <x:c r="G6" s="67"/>
      <x:c r="H6" s="67"/>
      <x:c r="I6" s="69"/>
      <x:c r="J6" s="70">
        <x:v>500</x:v>
      </x:c>
      <x:c r="K6" s="70">
        <x:v>1000</x:v>
      </x:c>
      <x:c r="L6" s="18" t="str">
        <x:f t="shared" si="0"/>
        <x:v>One Thousand  Dollars and No Cents</x:v>
      </x:c>
      <x:c r="M6" s="86">
        <x:v>43908</x:v>
      </x:c>
      <x:c r="N6" s="67"/>
      <x:c r="O6" s="67" t="s">
        <x:v>36</x:v>
      </x:c>
      <x:c r="P6" s="67" t="s">
        <x:v>37</x:v>
      </x:c>
      <x:c r="Q6" s="67"/>
      <x:c r="R6" s="67"/>
      <x:c r="S6" s="68"/>
      <x:c r="T6" s="67"/>
      <x:c r="U6" s="67"/>
      <x:c r="AA6" s="54" t="s">
        <x:v>357</x:v>
      </x:c>
      <x:c r="AB6" s="55">
        <x:f>SUM(AB3:AB5)</x:f>
        <x:v>0</x:v>
      </x:c>
      <x:c r="AC6" s="29"/>
    </x:row>
    <x:row r="7" spans="1:29" x14ac:dyDescent="0.25">
      <x:c r="A7" s="18" t="s">
        <x:v>50</x:v>
      </x:c>
      <x:c r="B7" s="19" t="s">
        <x:v>51</x:v>
      </x:c>
      <x:c r="C7" s="18" t="s">
        <x:v>52</x:v>
      </x:c>
      <x:c r="D7" s="18" t="s">
        <x:v>53</x:v>
      </x:c>
      <x:c r="E7" s="18" t="s">
        <x:v>54</x:v>
      </x:c>
      <x:c r="F7" s="18"/>
      <x:c r="G7" s="18" t="s">
        <x:v>55</x:v>
      </x:c>
      <x:c r="H7" s="18" t="s">
        <x:v>56</x:v>
      </x:c>
      <x:c r="I7" s="20"/>
      <x:c r="J7" s="21">
        <x:v>1500</x:v>
      </x:c>
      <x:c r="K7" s="21">
        <x:v>1500</x:v>
      </x:c>
      <x:c r="L7" s="18" t="str">
        <x:f t="shared" si="0"/>
        <x:v>One Thousand Five Hundred  Dollars and No Cents</x:v>
      </x:c>
      <x:c r="M7" s="22"/>
      <x:c r="N7" s="23"/>
      <x:c r="O7" s="23" t="s">
        <x:v>36</x:v>
      </x:c>
      <x:c r="P7" s="23" t="s">
        <x:v>37</x:v>
      </x:c>
      <x:c r="Q7" s="23"/>
      <x:c r="R7" s="23"/>
      <x:c r="S7" s="24"/>
      <x:c r="T7" s="23" t="s">
        <x:v>39</x:v>
      </x:c>
      <x:c r="U7" s="23" t="s">
        <x:v>40</x:v>
      </x:c>
      <x:c r="AA7" s="56" t="s">
        <x:v>358</x:v>
      </x:c>
      <x:c r="AB7" s="57"/>
      <x:c r="AC7" s="27" t="s">
        <x:v>41</x:v>
      </x:c>
    </x:row>
    <x:row r="8" spans="1:29" x14ac:dyDescent="0.25">
      <x:c r="A8" s="18" t="s">
        <x:v>57</x:v>
      </x:c>
      <x:c r="B8" s="19" t="s">
        <x:v>58</x:v>
      </x:c>
      <x:c r="C8" s="18" t="s">
        <x:v>59</x:v>
      </x:c>
      <x:c r="D8" s="18" t="s">
        <x:v>60</x:v>
      </x:c>
      <x:c r="E8" s="18" t="s">
        <x:v>61</x:v>
      </x:c>
      <x:c r="F8" s="18"/>
      <x:c r="G8" s="18" t="s">
        <x:v>62</x:v>
      </x:c>
      <x:c r="H8" s="18" t="s">
        <x:v>63</x:v>
      </x:c>
      <x:c r="I8" s="20"/>
      <x:c r="J8" s="21">
        <x:v>7500</x:v>
      </x:c>
      <x:c r="K8" s="21">
        <x:v>7500</x:v>
      </x:c>
      <x:c r="L8" s="18" t="str">
        <x:f t="shared" si="0"/>
        <x:v>Seven Thousand Five Hundred  Dollars and No Cents</x:v>
      </x:c>
      <x:c r="M8" s="22"/>
      <x:c r="N8" s="23"/>
      <x:c r="O8" s="23" t="s">
        <x:v>36</x:v>
      </x:c>
      <x:c r="P8" s="23" t="s">
        <x:v>37</x:v>
      </x:c>
      <x:c r="Q8" s="23"/>
      <x:c r="R8" s="23"/>
      <x:c r="S8" s="24" t="s">
        <x:v>38</x:v>
      </x:c>
      <x:c r="T8" s="23" t="s">
        <x:v>39</x:v>
      </x:c>
      <x:c r="U8" s="23" t="s">
        <x:v>40</x:v>
      </x:c>
      <x:c r="AA8" s="58" t="s">
        <x:v>359</x:v>
      </x:c>
      <x:c r="AB8" s="57"/>
      <x:c r="AC8" s="27" t="s">
        <x:v>41</x:v>
      </x:c>
    </x:row>
    <x:row r="9" spans="1:29" x14ac:dyDescent="0.25">
      <x:c r="A9" s="71" t="s">
        <x:v>64</x:v>
      </x:c>
      <x:c r="B9" s="72"/>
      <x:c r="C9" s="71" t="s">
        <x:v>65</x:v>
      </x:c>
      <x:c r="D9" s="71" t="s">
        <x:v>66</x:v>
      </x:c>
      <x:c r="E9" s="71" t="s">
        <x:v>67</x:v>
      </x:c>
      <x:c r="F9" s="71" t="s">
        <x:v>68</x:v>
      </x:c>
      <x:c r="G9" s="71" t="s">
        <x:v>62</x:v>
      </x:c>
      <x:c r="H9" s="71">
        <x:v>20817</x:v>
      </x:c>
      <x:c r="I9" s="73"/>
      <x:c r="J9" s="74">
        <x:v>1500</x:v>
      </x:c>
      <x:c r="K9" s="74"/>
      <x:c r="L9" s="18" t="str">
        <x:f t="shared" si="0"/>
        <x:v>No Dollars and No Cents</x:v>
      </x:c>
      <x:c r="M9" s="87"/>
      <x:c r="N9" s="71"/>
      <x:c r="O9" s="71" t="s">
        <x:v>36</x:v>
      </x:c>
      <x:c r="P9" s="71" t="s">
        <x:v>37</x:v>
      </x:c>
      <x:c r="Q9" s="71"/>
      <x:c r="R9" s="71"/>
      <x:c r="S9" s="72" t="s">
        <x:v>38</x:v>
      </x:c>
      <x:c r="T9" s="71" t="s">
        <x:v>39</x:v>
      </x:c>
      <x:c r="U9" s="71" t="s">
        <x:v>40</x:v>
      </x:c>
      <x:c r="AA9" s="58" t="s">
        <x:v>360</x:v>
      </x:c>
      <x:c r="AB9" s="57">
        <x:f>SUM(AB7:AB8)</x:f>
        <x:v>0</x:v>
      </x:c>
      <x:c r="AC9" s="27"/>
    </x:row>
    <x:row r="10" spans="1:29" x14ac:dyDescent="0.25">
      <x:c r="A10" s="18" t="s">
        <x:v>69</x:v>
      </x:c>
      <x:c r="B10" s="19" t="s">
        <x:v>70</x:v>
      </x:c>
      <x:c r="C10" s="18" t="s">
        <x:v>71</x:v>
      </x:c>
      <x:c r="D10" s="18" t="s">
        <x:v>72</x:v>
      </x:c>
      <x:c r="E10" s="18" t="s">
        <x:v>73</x:v>
      </x:c>
      <x:c r="F10" s="18"/>
      <x:c r="G10" s="18" t="s">
        <x:v>47</x:v>
      </x:c>
      <x:c r="H10" s="18" t="s">
        <x:v>74</x:v>
      </x:c>
      <x:c r="I10" s="20"/>
      <x:c r="J10" s="21">
        <x:v>4000</x:v>
      </x:c>
      <x:c r="K10" s="21">
        <x:v>4000</x:v>
      </x:c>
      <x:c r="L10" s="18" t="str">
        <x:f t="shared" si="0"/>
        <x:v>Four Thousand  Dollars and No Cents</x:v>
      </x:c>
      <x:c r="M10" s="22"/>
      <x:c r="N10" s="23" t="s">
        <x:v>373</x:v>
      </x:c>
      <x:c r="O10" s="23" t="s">
        <x:v>36</x:v>
      </x:c>
      <x:c r="P10" s="23" t="s">
        <x:v>37</x:v>
      </x:c>
      <x:c r="Q10" s="23"/>
      <x:c r="R10" s="23"/>
      <x:c r="S10" s="24"/>
      <x:c r="T10" s="23" t="s">
        <x:v>39</x:v>
      </x:c>
      <x:c r="U10" s="23" t="s">
        <x:v>40</x:v>
      </x:c>
      <x:c r="AA10" s="54" t="s">
        <x:v>361</x:v>
      </x:c>
      <x:c r="AB10" s="55">
        <x:f>SUM(AB9+AB6)</x:f>
        <x:v>0</x:v>
      </x:c>
      <x:c r="AC10" s="29"/>
    </x:row>
    <x:row r="11" spans="1:29" x14ac:dyDescent="0.25">
      <x:c r="A11" s="18" t="s">
        <x:v>76</x:v>
      </x:c>
      <x:c r="B11" s="19" t="s">
        <x:v>77</x:v>
      </x:c>
      <x:c r="C11" s="18" t="s">
        <x:v>78</x:v>
      </x:c>
      <x:c r="D11" s="18" t="s">
        <x:v>79</x:v>
      </x:c>
      <x:c r="E11" s="18" t="s">
        <x:v>80</x:v>
      </x:c>
      <x:c r="F11" s="18"/>
      <x:c r="G11" s="18" t="s">
        <x:v>81</x:v>
      </x:c>
      <x:c r="H11" s="18">
        <x:v>21401</x:v>
      </x:c>
      <x:c r="I11" s="20"/>
      <x:c r="J11" s="21">
        <x:v>2500</x:v>
      </x:c>
      <x:c r="K11" s="21">
        <x:v>2500</x:v>
      </x:c>
      <x:c r="L11" s="18" t="str">
        <x:f t="shared" si="0"/>
        <x:v>Two Thousand Five Hundred  Dollars and No Cents</x:v>
      </x:c>
      <x:c r="M11" s="22"/>
      <x:c r="N11" s="23"/>
      <x:c r="O11" s="23" t="s">
        <x:v>36</x:v>
      </x:c>
      <x:c r="P11" s="23" t="s">
        <x:v>37</x:v>
      </x:c>
      <x:c r="Q11" s="23"/>
      <x:c r="R11" s="23"/>
      <x:c r="S11" s="24"/>
      <x:c r="T11" s="23" t="s">
        <x:v>39</x:v>
      </x:c>
      <x:c r="U11" s="23" t="s">
        <x:v>40</x:v>
      </x:c>
      <x:c r="AA11" s="54" t="s">
        <x:v>362</x:v>
      </x:c>
      <x:c r="AB11" s="55">
        <x:f>IF(AB5&gt;0,AB10/11,AB10/10)</x:f>
        <x:v>0</x:v>
      </x:c>
      <x:c r="AC11" s="29"/>
    </x:row>
    <x:row r="12" spans="1:29" x14ac:dyDescent="0.25">
      <x:c r="A12" s="67" t="s">
        <x:v>82</x:v>
      </x:c>
      <x:c r="B12" s="68" t="s">
        <x:v>83</x:v>
      </x:c>
      <x:c r="C12" s="67"/>
      <x:c r="D12" s="67" t="str">
        <x:f t="shared" ref="D12:D58" si="1">LEFT(C12,7)</x:f>
        <x:v/>
      </x:c>
      <x:c r="E12" s="67"/>
      <x:c r="F12" s="67"/>
      <x:c r="G12" s="67"/>
      <x:c r="H12" s="67"/>
      <x:c r="I12" s="69"/>
      <x:c r="J12" s="70">
        <x:v>4000</x:v>
      </x:c>
      <x:c r="K12" s="70"/>
      <x:c r="L12" s="18" t="str">
        <x:f t="shared" si="0"/>
        <x:v>No Dollars and No Cents</x:v>
      </x:c>
      <x:c r="M12" s="86"/>
      <x:c r="N12" s="67" t="s">
        <x:v>373</x:v>
      </x:c>
      <x:c r="O12" s="67" t="s">
        <x:v>36</x:v>
      </x:c>
      <x:c r="P12" s="67" t="s">
        <x:v>37</x:v>
      </x:c>
      <x:c r="Q12" s="67"/>
      <x:c r="R12" s="67"/>
      <x:c r="S12" s="68" t="s">
        <x:v>38</x:v>
      </x:c>
      <x:c r="T12" s="67" t="s">
        <x:v>39</x:v>
      </x:c>
      <x:c r="U12" s="67" t="s">
        <x:v>40</x:v>
      </x:c>
      <x:c r="AA12" s="54" t="s">
        <x:v>75</x:v>
      </x:c>
      <x:c r="AB12" s="59">
        <x:f>-AB11*1.5%</x:f>
        <x:v>0</x:v>
      </x:c>
      <x:c r="AC12" s="29"/>
    </x:row>
    <x:row r="13" spans="1:29" x14ac:dyDescent="0.25">
      <x:c r="A13" s="67" t="s">
        <x:v>85</x:v>
      </x:c>
      <x:c r="B13" s="68" t="s">
        <x:v>86</x:v>
      </x:c>
      <x:c r="C13" s="67" t="s">
        <x:v>87</x:v>
      </x:c>
      <x:c r="D13" s="67" t="s">
        <x:v>88</x:v>
      </x:c>
      <x:c r="E13" s="67" t="s">
        <x:v>89</x:v>
      </x:c>
      <x:c r="F13" s="67"/>
      <x:c r="G13" s="67" t="s">
        <x:v>90</x:v>
      </x:c>
      <x:c r="H13" s="67">
        <x:v>21035</x:v>
      </x:c>
      <x:c r="I13" s="69"/>
      <x:c r="J13" s="70">
        <x:v>1500</x:v>
      </x:c>
      <x:c r="K13" s="70"/>
      <x:c r="L13" s="18" t="str">
        <x:f t="shared" si="0"/>
        <x:v>No Dollars and No Cents</x:v>
      </x:c>
      <x:c r="M13" s="86"/>
      <x:c r="N13" s="67"/>
      <x:c r="O13" s="67" t="s">
        <x:v>36</x:v>
      </x:c>
      <x:c r="P13" s="67" t="s">
        <x:v>37</x:v>
      </x:c>
      <x:c r="Q13" s="67"/>
      <x:c r="R13" s="67"/>
      <x:c r="S13" s="68"/>
      <x:c r="T13" s="67" t="s">
        <x:v>39</x:v>
      </x:c>
      <x:c r="U13" s="67" t="s">
        <x:v>40</x:v>
      </x:c>
      <x:c r="AA13" s="54"/>
      <x:c r="AB13" s="55">
        <x:f>SUM(AB11:AB12)</x:f>
        <x:v>0</x:v>
      </x:c>
      <x:c r="AC13" s="29"/>
    </x:row>
    <x:row r="14" spans="1:29" x14ac:dyDescent="0.25">
      <x:c r="A14" s="18" t="s">
        <x:v>91</x:v>
      </x:c>
      <x:c r="B14" s="19" t="s">
        <x:v>92</x:v>
      </x:c>
      <x:c r="C14" s="18" t="s">
        <x:v>93</x:v>
      </x:c>
      <x:c r="D14" s="18" t="s">
        <x:v>94</x:v>
      </x:c>
      <x:c r="E14" s="18" t="s">
        <x:v>95</x:v>
      </x:c>
      <x:c r="F14" s="18"/>
      <x:c r="G14" s="18" t="s">
        <x:v>96</x:v>
      </x:c>
      <x:c r="H14" s="18" t="s">
        <x:v>97</x:v>
      </x:c>
      <x:c r="I14" s="20"/>
      <x:c r="J14" s="21">
        <x:v>9000</x:v>
      </x:c>
      <x:c r="K14" s="21">
        <x:v>10000</x:v>
      </x:c>
      <x:c r="L14" s="18" t="str">
        <x:f t="shared" si="0"/>
        <x:v>Ten Thousand  Dollars and No Cents</x:v>
      </x:c>
      <x:c r="M14" s="22"/>
      <x:c r="N14" s="23"/>
      <x:c r="O14" s="23" t="s">
        <x:v>36</x:v>
      </x:c>
      <x:c r="P14" s="23" t="s">
        <x:v>37</x:v>
      </x:c>
      <x:c r="Q14" s="23"/>
      <x:c r="R14" s="23"/>
      <x:c r="S14" s="24"/>
      <x:c r="T14" s="23" t="s">
        <x:v>39</x:v>
      </x:c>
      <x:c r="U14" s="23" t="s">
        <x:v>40</x:v>
      </x:c>
      <x:c r="AA14" s="54" t="s">
        <x:v>84</x:v>
      </x:c>
      <x:c r="AB14" s="55">
        <x:f>AB13*5%</x:f>
        <x:v>0</x:v>
      </x:c>
      <x:c r="AC14" s="29"/>
    </x:row>
    <x:row r="15" spans="1:29" x14ac:dyDescent="0.25">
      <x:c r="A15" s="18" t="s">
        <x:v>98</x:v>
      </x:c>
      <x:c r="B15" s="19" t="s">
        <x:v>99</x:v>
      </x:c>
      <x:c r="C15" s="18" t="s">
        <x:v>100</x:v>
      </x:c>
      <x:c r="D15" s="18" t="s">
        <x:v>101</x:v>
      </x:c>
      <x:c r="E15" s="18" t="s">
        <x:v>102</x:v>
      </x:c>
      <x:c r="F15" s="18"/>
      <x:c r="G15" s="18" t="s">
        <x:v>62</x:v>
      </x:c>
      <x:c r="H15" s="18" t="s">
        <x:v>63</x:v>
      </x:c>
      <x:c r="I15" s="20"/>
      <x:c r="J15" s="21">
        <x:v>4500</x:v>
      </x:c>
      <x:c r="K15" s="21">
        <x:v>4500</x:v>
      </x:c>
      <x:c r="L15" s="18" t="str">
        <x:f t="shared" si="0"/>
        <x:v>Four Thousand Five Hundred  Dollars and No Cents</x:v>
      </x:c>
      <x:c r="M15" s="22"/>
      <x:c r="N15" s="23"/>
      <x:c r="O15" s="23" t="s">
        <x:v>36</x:v>
      </x:c>
      <x:c r="P15" s="23" t="s">
        <x:v>37</x:v>
      </x:c>
      <x:c r="Q15" s="23"/>
      <x:c r="R15" s="23"/>
      <x:c r="S15" s="24" t="s">
        <x:v>38</x:v>
      </x:c>
      <x:c r="T15" s="23" t="s">
        <x:v>39</x:v>
      </x:c>
      <x:c r="U15" s="23" t="s">
        <x:v>40</x:v>
      </x:c>
      <x:c r="AA15" s="54" t="s">
        <x:v>363</x:v>
      </x:c>
      <x:c r="AB15" s="59">
        <x:f>-AB14*1.39%</x:f>
        <x:v>0</x:v>
      </x:c>
      <x:c r="AC15" s="29"/>
    </x:row>
    <x:row r="16" spans="1:29" x14ac:dyDescent="0.25">
      <x:c r="A16" s="18" t="s">
        <x:v>103</x:v>
      </x:c>
      <x:c r="B16" s="19" t="s">
        <x:v>104</x:v>
      </x:c>
      <x:c r="C16" s="18" t="s">
        <x:v>105</x:v>
      </x:c>
      <x:c r="D16" s="18" t="s">
        <x:v>106</x:v>
      </x:c>
      <x:c r="E16" s="18" t="s">
        <x:v>107</x:v>
      </x:c>
      <x:c r="F16" s="18"/>
      <x:c r="G16" s="18" t="s">
        <x:v>108</x:v>
      </x:c>
      <x:c r="H16" s="18" t="s">
        <x:v>109</x:v>
      </x:c>
      <x:c r="I16" s="20"/>
      <x:c r="J16" s="21">
        <x:v>15000</x:v>
      </x:c>
      <x:c r="K16" s="21">
        <x:v>7500</x:v>
      </x:c>
      <x:c r="L16" s="18" t="str">
        <x:f t="shared" si="0"/>
        <x:v>Seven Thousand Five Hundred  Dollars and No Cents</x:v>
      </x:c>
      <x:c r="M16" s="22"/>
      <x:c r="N16" s="23" t="s">
        <x:v>373</x:v>
      </x:c>
      <x:c r="O16" s="23" t="s">
        <x:v>36</x:v>
      </x:c>
      <x:c r="P16" s="23" t="s">
        <x:v>37</x:v>
      </x:c>
      <x:c r="Q16" s="23"/>
      <x:c r="R16" s="23"/>
      <x:c r="S16" s="24"/>
      <x:c r="T16" s="23" t="s">
        <x:v>39</x:v>
      </x:c>
      <x:c r="U16" s="23" t="s">
        <x:v>40</x:v>
      </x:c>
      <x:c r="AA16" s="54"/>
      <x:c r="AB16" s="55">
        <x:f>SUM(AB13:AB15)</x:f>
        <x:v>0</x:v>
      </x:c>
      <x:c r="AC16" s="29"/>
    </x:row>
    <x:row r="17" spans="1:29" x14ac:dyDescent="0.25">
      <x:c r="A17" s="18" t="s">
        <x:v>110</x:v>
      </x:c>
      <x:c r="B17" s="19" t="s">
        <x:v>111</x:v>
      </x:c>
      <x:c r="C17" s="18" t="s">
        <x:v>112</x:v>
      </x:c>
      <x:c r="D17" s="18" t="s">
        <x:v>113</x:v>
      </x:c>
      <x:c r="E17" s="18" t="s">
        <x:v>114</x:v>
      </x:c>
      <x:c r="F17" s="18"/>
      <x:c r="G17" s="18" t="s">
        <x:v>115</x:v>
      </x:c>
      <x:c r="H17" s="18" t="s">
        <x:v>116</x:v>
      </x:c>
      <x:c r="I17" s="20"/>
      <x:c r="J17" s="21">
        <x:v>25000</x:v>
      </x:c>
      <x:c r="K17" s="21">
        <x:v>10000</x:v>
      </x:c>
      <x:c r="L17" s="18" t="str">
        <x:f t="shared" si="0"/>
        <x:v>Ten Thousand  Dollars and No Cents</x:v>
      </x:c>
      <x:c r="M17" s="22"/>
      <x:c r="N17" s="23"/>
      <x:c r="O17" s="23" t="s">
        <x:v>36</x:v>
      </x:c>
      <x:c r="P17" s="23" t="s">
        <x:v>37</x:v>
      </x:c>
      <x:c r="Q17" s="23"/>
      <x:c r="R17" s="23"/>
      <x:c r="S17" s="24"/>
      <x:c r="T17" s="23" t="s">
        <x:v>39</x:v>
      </x:c>
      <x:c r="U17" s="23" t="s">
        <x:v>40</x:v>
      </x:c>
      <x:c r="AA17" s="54" t="s">
        <x:v>364</x:v>
      </x:c>
      <x:c r="AB17" s="26"/>
      <x:c r="AC17" s="27" t="s">
        <x:v>41</x:v>
      </x:c>
    </x:row>
    <x:row r="18" spans="1:29" x14ac:dyDescent="0.25">
      <x:c r="A18" s="18" t="s">
        <x:v>118</x:v>
      </x:c>
      <x:c r="B18" s="19" t="s">
        <x:v>119</x:v>
      </x:c>
      <x:c r="C18" s="18" t="s">
        <x:v>120</x:v>
      </x:c>
      <x:c r="D18" s="18" t="s">
        <x:v>121</x:v>
      </x:c>
      <x:c r="E18" s="18" t="s">
        <x:v>122</x:v>
      </x:c>
      <x:c r="F18" s="18"/>
      <x:c r="G18" s="18" t="s">
        <x:v>123</x:v>
      </x:c>
      <x:c r="H18" s="18" t="s">
        <x:v>124</x:v>
      </x:c>
      <x:c r="I18" s="20"/>
      <x:c r="J18" s="21">
        <x:v>1750</x:v>
      </x:c>
      <x:c r="K18" s="21">
        <x:v>2000</x:v>
      </x:c>
      <x:c r="L18" s="18" t="str">
        <x:f t="shared" si="0"/>
        <x:v>Two Thousand  Dollars and No Cents</x:v>
      </x:c>
      <x:c r="M18" s="22"/>
      <x:c r="N18" s="23"/>
      <x:c r="O18" s="23" t="s">
        <x:v>36</x:v>
      </x:c>
      <x:c r="P18" s="23" t="s">
        <x:v>37</x:v>
      </x:c>
      <x:c r="Q18" s="23"/>
      <x:c r="R18" s="23"/>
      <x:c r="S18" s="24" t="s">
        <x:v>38</x:v>
      </x:c>
      <x:c r="T18" s="23" t="s">
        <x:v>39</x:v>
      </x:c>
      <x:c r="U18" s="23" t="s">
        <x:v>40</x:v>
      </x:c>
      <x:c r="AA18" s="54" t="s">
        <x:v>365</x:v>
      </x:c>
      <x:c r="AB18" s="26"/>
      <x:c r="AC18" s="27" t="s">
        <x:v>41</x:v>
      </x:c>
    </x:row>
    <x:row r="19" spans="1:29" x14ac:dyDescent="0.25">
      <x:c r="A19" s="18" t="s">
        <x:v>125</x:v>
      </x:c>
      <x:c r="B19" s="19" t="s">
        <x:v>126</x:v>
      </x:c>
      <x:c r="C19" s="18" t="s">
        <x:v>127</x:v>
      </x:c>
      <x:c r="D19" s="18" t="s">
        <x:v>128</x:v>
      </x:c>
      <x:c r="E19" s="18" t="s">
        <x:v>129</x:v>
      </x:c>
      <x:c r="F19" s="18"/>
      <x:c r="G19" s="18" t="s">
        <x:v>130</x:v>
      </x:c>
      <x:c r="H19" s="18" t="s">
        <x:v>131</x:v>
      </x:c>
      <x:c r="I19" s="20"/>
      <x:c r="J19" s="21">
        <x:v>2500</x:v>
      </x:c>
      <x:c r="K19" s="21">
        <x:v>2500</x:v>
      </x:c>
      <x:c r="L19" s="18" t="str">
        <x:f t="shared" si="0"/>
        <x:v>Two Thousand Five Hundred  Dollars and No Cents</x:v>
      </x:c>
      <x:c r="M19" s="22"/>
      <x:c r="N19" s="23"/>
      <x:c r="O19" s="23" t="s">
        <x:v>36</x:v>
      </x:c>
      <x:c r="P19" s="23" t="s">
        <x:v>37</x:v>
      </x:c>
      <x:c r="Q19" s="23"/>
      <x:c r="R19" s="23"/>
      <x:c r="S19" s="24"/>
      <x:c r="T19" s="23" t="s">
        <x:v>39</x:v>
      </x:c>
      <x:c r="U19" s="23" t="s">
        <x:v>40</x:v>
      </x:c>
      <x:c r="AA19" s="54" t="s">
        <x:v>117</x:v>
      </x:c>
      <x:c r="AB19" s="26"/>
      <x:c r="AC19" s="27" t="s">
        <x:v>41</x:v>
      </x:c>
    </x:row>
    <x:row r="20" spans="1:29" x14ac:dyDescent="0.25">
      <x:c r="A20" s="71" t="s">
        <x:v>132</x:v>
      </x:c>
      <x:c r="B20" s="72" t="s">
        <x:v>133</x:v>
      </x:c>
      <x:c r="C20" s="71" t="s">
        <x:v>134</x:v>
      </x:c>
      <x:c r="D20" s="71" t="s">
        <x:v>135</x:v>
      </x:c>
      <x:c r="E20" s="71" t="s">
        <x:v>136</x:v>
      </x:c>
      <x:c r="F20" s="71"/>
      <x:c r="G20" s="71" t="s">
        <x:v>137</x:v>
      </x:c>
      <x:c r="H20" s="71" t="s">
        <x:v>138</x:v>
      </x:c>
      <x:c r="I20" s="73"/>
      <x:c r="J20" s="74">
        <x:v>3500</x:v>
      </x:c>
      <x:c r="K20" s="74"/>
      <x:c r="L20" s="18" t="str">
        <x:f t="shared" si="0"/>
        <x:v>No Dollars and No Cents</x:v>
      </x:c>
      <x:c r="M20" s="87"/>
      <x:c r="N20" s="71"/>
      <x:c r="O20" s="71" t="s">
        <x:v>36</x:v>
      </x:c>
      <x:c r="P20" s="71" t="s">
        <x:v>37</x:v>
      </x:c>
      <x:c r="Q20" s="71"/>
      <x:c r="R20" s="71"/>
      <x:c r="S20" s="72"/>
      <x:c r="T20" s="71" t="s">
        <x:v>39</x:v>
      </x:c>
      <x:c r="U20" s="71" t="s">
        <x:v>40</x:v>
      </x:c>
      <x:c r="AA20" s="54"/>
      <x:c r="AB20" s="55">
        <x:f>SUM(AB14:AB19)</x:f>
        <x:v>0</x:v>
      </x:c>
      <x:c r="AC20" s="29"/>
    </x:row>
    <x:row r="21" spans="1:29" x14ac:dyDescent="0.25">
      <x:c r="A21" s="71" t="s">
        <x:v>141</x:v>
      </x:c>
      <x:c r="B21" s="72"/>
      <x:c r="C21" s="71"/>
      <x:c r="D21" s="71"/>
      <x:c r="E21" s="71"/>
      <x:c r="F21" s="71"/>
      <x:c r="G21" s="71"/>
      <x:c r="H21" s="71"/>
      <x:c r="I21" s="73"/>
      <x:c r="J21" s="74">
        <x:v>3000</x:v>
      </x:c>
      <x:c r="K21" s="74">
        <x:v>5000</x:v>
      </x:c>
      <x:c r="L21" s="18" t="str">
        <x:f t="shared" si="0"/>
        <x:v>Five Thousand  Dollars and No Cents</x:v>
      </x:c>
      <x:c r="M21" s="87"/>
      <x:c r="N21" s="71"/>
      <x:c r="O21" s="71"/>
      <x:c r="P21" s="71"/>
      <x:c r="Q21" s="71"/>
      <x:c r="R21" s="71"/>
      <x:c r="S21" s="72"/>
      <x:c r="T21" s="71"/>
      <x:c r="U21" s="71"/>
      <x:c r="AA21" s="54" t="s">
        <x:v>366</x:v>
      </x:c>
      <x:c r="AB21" s="60"/>
      <x:c r="AC21" s="29" t="s">
        <x:v>26</x:v>
      </x:c>
    </x:row>
    <x:row r="22" spans="1:29" x14ac:dyDescent="0.25">
      <x:c r="A22" s="71" t="s">
        <x:v>143</x:v>
      </x:c>
      <x:c r="B22" s="72" t="s">
        <x:v>144</x:v>
      </x:c>
      <x:c r="C22" s="71" t="s">
        <x:v>145</x:v>
      </x:c>
      <x:c r="D22" s="71" t="str">
        <x:f t="shared" si="1"/>
        <x:v xml:space="preserve">Andrew </x:v>
      </x:c>
      <x:c r="E22" s="71" t="s">
        <x:v>146</x:v>
      </x:c>
      <x:c r="F22" s="71"/>
      <x:c r="G22" s="71" t="s">
        <x:v>147</x:v>
      </x:c>
      <x:c r="H22" s="71">
        <x:v>27217</x:v>
      </x:c>
      <x:c r="I22" s="73"/>
      <x:c r="J22" s="74">
        <x:v>2000</x:v>
      </x:c>
      <x:c r="K22" s="74"/>
      <x:c r="L22" s="18" t="str">
        <x:f t="shared" si="0"/>
        <x:v>No Dollars and No Cents</x:v>
      </x:c>
      <x:c r="M22" s="87"/>
      <x:c r="N22" s="71"/>
      <x:c r="O22" s="71" t="s">
        <x:v>36</x:v>
      </x:c>
      <x:c r="P22" s="71" t="s">
        <x:v>37</x:v>
      </x:c>
      <x:c r="Q22" s="71"/>
      <x:c r="R22" s="71"/>
      <x:c r="S22" s="72"/>
      <x:c r="T22" s="71" t="s">
        <x:v>39</x:v>
      </x:c>
      <x:c r="U22" s="71" t="s">
        <x:v>40</x:v>
      </x:c>
      <x:c r="AA22" s="54" t="s">
        <x:v>139</x:v>
      </x:c>
      <x:c r="AB22" s="61">
        <x:f>-J2</x:f>
        <x:v>0</x:v>
      </x:c>
      <x:c r="AC22" s="29" t="s">
        <x:v>140</x:v>
      </x:c>
    </x:row>
    <x:row r="23" spans="1:29" ht="15.75" thickBot="1" x14ac:dyDescent="0.3">
      <x:c r="A23" s="18" t="s">
        <x:v>148</x:v>
      </x:c>
      <x:c r="B23" s="19" t="s">
        <x:v>149</x:v>
      </x:c>
      <x:c r="C23" s="18" t="s">
        <x:v>150</x:v>
      </x:c>
      <x:c r="D23" s="18" t="s">
        <x:v>151</x:v>
      </x:c>
      <x:c r="E23" s="18" t="s">
        <x:v>152</x:v>
      </x:c>
      <x:c r="F23" s="18"/>
      <x:c r="G23" s="18" t="s">
        <x:v>47</x:v>
      </x:c>
      <x:c r="H23" s="18" t="s">
        <x:v>153</x:v>
      </x:c>
      <x:c r="I23" s="20"/>
      <x:c r="J23" s="21">
        <x:v>10000</x:v>
      </x:c>
      <x:c r="K23" s="21">
        <x:v>10000</x:v>
      </x:c>
      <x:c r="L23" s="18" t="str">
        <x:f t="shared" si="0"/>
        <x:v>Ten Thousand  Dollars and No Cents</x:v>
      </x:c>
      <x:c r="M23" s="22"/>
      <x:c r="N23" s="23"/>
      <x:c r="O23" s="23" t="s">
        <x:v>36</x:v>
      </x:c>
      <x:c r="P23" s="23" t="s">
        <x:v>37</x:v>
      </x:c>
      <x:c r="Q23" s="23"/>
      <x:c r="R23" s="23"/>
      <x:c r="S23" s="24"/>
      <x:c r="T23" s="23" t="s">
        <x:v>39</x:v>
      </x:c>
      <x:c r="U23" s="23" t="s">
        <x:v>40</x:v>
      </x:c>
      <x:c r="AA23" s="62" t="s">
        <x:v>367</x:v>
      </x:c>
      <x:c r="AB23" s="30">
        <x:f>SUM(AB21:AB22)</x:f>
        <x:v>0</x:v>
      </x:c>
      <x:c r="AC23" s="31" t="s">
        <x:v>142</x:v>
      </x:c>
    </x:row>
    <x:row r="24" spans="1:29" ht="15.75" thickTop="1" x14ac:dyDescent="0.25">
      <x:c r="A24" s="18" t="s">
        <x:v>154</x:v>
      </x:c>
      <x:c r="B24" s="19" t="s">
        <x:v>155</x:v>
      </x:c>
      <x:c r="C24" s="18" t="s">
        <x:v>156</x:v>
      </x:c>
      <x:c r="D24" s="18" t="s">
        <x:v>157</x:v>
      </x:c>
      <x:c r="E24" s="18" t="s">
        <x:v>158</x:v>
      </x:c>
      <x:c r="F24" s="18"/>
      <x:c r="G24" s="18" t="s">
        <x:v>159</x:v>
      </x:c>
      <x:c r="H24" s="18" t="s">
        <x:v>160</x:v>
      </x:c>
      <x:c r="I24" s="20"/>
      <x:c r="J24" s="21">
        <x:v>5000</x:v>
      </x:c>
      <x:c r="K24" s="21">
        <x:v>2500</x:v>
      </x:c>
      <x:c r="L24" s="18" t="str">
        <x:f t="shared" si="0"/>
        <x:v>Two Thousand Five Hundred  Dollars and No Cents</x:v>
      </x:c>
      <x:c r="M24" s="22"/>
      <x:c r="N24" s="23" t="s">
        <x:v>373</x:v>
      </x:c>
      <x:c r="O24" s="23" t="s">
        <x:v>36</x:v>
      </x:c>
      <x:c r="P24" s="23" t="s">
        <x:v>37</x:v>
      </x:c>
      <x:c r="Q24" s="23"/>
      <x:c r="R24" s="23"/>
      <x:c r="S24" s="24" t="s">
        <x:v>38</x:v>
      </x:c>
      <x:c r="T24" s="23" t="s">
        <x:v>39</x:v>
      </x:c>
      <x:c r="U24" s="23" t="s">
        <x:v>40</x:v>
      </x:c>
    </x:row>
    <x:row r="25" spans="1:29" s="34" customFormat="1" x14ac:dyDescent="0.25">
      <x:c r="A25" s="75" t="s">
        <x:v>161</x:v>
      </x:c>
      <x:c r="B25" s="76" t="s">
        <x:v>162</x:v>
      </x:c>
      <x:c r="C25" s="75" t="s">
        <x:v>163</x:v>
      </x:c>
      <x:c r="D25" s="75" t="s">
        <x:v>164</x:v>
      </x:c>
      <x:c r="E25" s="75" t="s">
        <x:v>165</x:v>
      </x:c>
      <x:c r="F25" s="75"/>
      <x:c r="G25" s="75" t="s">
        <x:v>166</x:v>
      </x:c>
      <x:c r="H25" s="75" t="s">
        <x:v>167</x:v>
      </x:c>
      <x:c r="I25" s="77"/>
      <x:c r="J25" s="78">
        <x:v>5000</x:v>
      </x:c>
      <x:c r="K25" s="78">
        <x:v>5000</x:v>
      </x:c>
      <x:c r="L25" s="18" t="str">
        <x:f t="shared" si="0"/>
        <x:v>Five Thousand  Dollars and No Cents</x:v>
      </x:c>
      <x:c r="M25" s="88">
        <x:v>44119</x:v>
      </x:c>
      <x:c r="N25" s="89" t="s">
        <x:v>168</x:v>
      </x:c>
      <x:c r="O25" s="89" t="s">
        <x:v>36</x:v>
      </x:c>
      <x:c r="P25" s="89" t="s">
        <x:v>37</x:v>
      </x:c>
      <x:c r="Q25" s="89"/>
      <x:c r="R25" s="89"/>
      <x:c r="S25" s="90"/>
      <x:c r="T25" s="89" t="s">
        <x:v>39</x:v>
      </x:c>
      <x:c r="U25" s="89" t="s">
        <x:v>40</x:v>
      </x:c>
      <x:c r="AA25" s="25"/>
    </x:row>
    <x:row r="26" spans="1:29" x14ac:dyDescent="0.25">
      <x:c r="A26" s="71" t="s">
        <x:v>169</x:v>
      </x:c>
      <x:c r="B26" s="72" t="s">
        <x:v>170</x:v>
      </x:c>
      <x:c r="C26" s="71" t="s">
        <x:v>171</x:v>
      </x:c>
      <x:c r="D26" s="71" t="s">
        <x:v>172</x:v>
      </x:c>
      <x:c r="E26" s="71" t="s">
        <x:v>173</x:v>
      </x:c>
      <x:c r="F26" s="71"/>
      <x:c r="G26" s="71" t="s">
        <x:v>174</x:v>
      </x:c>
      <x:c r="H26" s="71" t="s">
        <x:v>175</x:v>
      </x:c>
      <x:c r="I26" s="73"/>
      <x:c r="J26" s="74">
        <x:v>5000</x:v>
      </x:c>
      <x:c r="K26" s="74"/>
      <x:c r="L26" s="18" t="str">
        <x:f t="shared" si="0"/>
        <x:v>No Dollars and No Cents</x:v>
      </x:c>
      <x:c r="M26" s="87"/>
      <x:c r="N26" s="71"/>
      <x:c r="O26" s="71" t="s">
        <x:v>36</x:v>
      </x:c>
      <x:c r="P26" s="71" t="s">
        <x:v>37</x:v>
      </x:c>
      <x:c r="Q26" s="71"/>
      <x:c r="R26" s="71"/>
      <x:c r="S26" s="72"/>
      <x:c r="T26" s="71" t="s">
        <x:v>39</x:v>
      </x:c>
      <x:c r="U26" s="71" t="s">
        <x:v>40</x:v>
      </x:c>
      <x:c r="AA26" s="34"/>
    </x:row>
    <x:row r="27" spans="1:29" s="38" customFormat="1" x14ac:dyDescent="0.25">
      <x:c r="A27" s="18" t="s">
        <x:v>176</x:v>
      </x:c>
      <x:c r="B27" s="19" t="s">
        <x:v>177</x:v>
      </x:c>
      <x:c r="C27" s="18" t="s">
        <x:v>178</x:v>
      </x:c>
      <x:c r="D27" s="18" t="s">
        <x:v>179</x:v>
      </x:c>
      <x:c r="E27" s="18" t="s">
        <x:v>180</x:v>
      </x:c>
      <x:c r="F27" s="18"/>
      <x:c r="G27" s="18" t="s">
        <x:v>181</x:v>
      </x:c>
      <x:c r="H27" s="18" t="s">
        <x:v>182</x:v>
      </x:c>
      <x:c r="I27" s="20"/>
      <x:c r="J27" s="21">
        <x:v>3500</x:v>
      </x:c>
      <x:c r="K27" s="21">
        <x:v>5000</x:v>
      </x:c>
      <x:c r="L27" s="18" t="str">
        <x:f t="shared" si="0"/>
        <x:v>Five Thousand  Dollars and No Cents</x:v>
      </x:c>
      <x:c r="M27" s="22">
        <x:v>43979</x:v>
      </x:c>
      <x:c r="N27" s="35" t="s">
        <x:v>373</x:v>
      </x:c>
      <x:c r="O27" s="35" t="s">
        <x:v>36</x:v>
      </x:c>
      <x:c r="P27" s="35" t="s">
        <x:v>37</x:v>
      </x:c>
      <x:c r="Q27" s="36">
        <x:v>43979</x:v>
      </x:c>
      <x:c r="R27" s="36">
        <x:v>43979</x:v>
      </x:c>
      <x:c r="S27" s="37" t="s">
        <x:v>38</x:v>
      </x:c>
      <x:c r="T27" s="35" t="s">
        <x:v>39</x:v>
      </x:c>
      <x:c r="U27" s="35" t="s">
        <x:v>40</x:v>
      </x:c>
      <x:c r="AA27" s="25"/>
    </x:row>
    <x:row r="28" spans="1:29" x14ac:dyDescent="0.25">
      <x:c r="A28" s="71" t="s">
        <x:v>183</x:v>
      </x:c>
      <x:c r="B28" s="72" t="s">
        <x:v>184</x:v>
      </x:c>
      <x:c r="C28" s="71"/>
      <x:c r="D28" s="71" t="str">
        <x:f t="shared" si="1"/>
        <x:v/>
      </x:c>
      <x:c r="E28" s="71"/>
      <x:c r="F28" s="71"/>
      <x:c r="G28" s="71"/>
      <x:c r="H28" s="71"/>
      <x:c r="I28" s="73"/>
      <x:c r="J28" s="74">
        <x:v>1000</x:v>
      </x:c>
      <x:c r="K28" s="74"/>
      <x:c r="L28" s="18" t="str">
        <x:f t="shared" si="0"/>
        <x:v>No Dollars and No Cents</x:v>
      </x:c>
      <x:c r="M28" s="87"/>
      <x:c r="N28" s="71"/>
      <x:c r="O28" s="71" t="s">
        <x:v>36</x:v>
      </x:c>
      <x:c r="P28" s="71" t="s">
        <x:v>37</x:v>
      </x:c>
      <x:c r="Q28" s="71"/>
      <x:c r="R28" s="71"/>
      <x:c r="S28" s="72"/>
      <x:c r="T28" s="71" t="s">
        <x:v>39</x:v>
      </x:c>
      <x:c r="U28" s="71" t="s">
        <x:v>40</x:v>
      </x:c>
      <x:c r="AA28" s="38"/>
    </x:row>
    <x:row r="29" spans="1:29" x14ac:dyDescent="0.25">
      <x:c r="A29" s="71" t="s">
        <x:v>185</x:v>
      </x:c>
      <x:c r="B29" s="72" t="s">
        <x:v>186</x:v>
      </x:c>
      <x:c r="C29" s="71" t="s">
        <x:v>187</x:v>
      </x:c>
      <x:c r="D29" s="71" t="s">
        <x:v>188</x:v>
      </x:c>
      <x:c r="E29" s="71" t="s">
        <x:v>189</x:v>
      </x:c>
      <x:c r="F29" s="71"/>
      <x:c r="G29" s="71" t="s">
        <x:v>190</x:v>
      </x:c>
      <x:c r="H29" s="71">
        <x:v>23510</x:v>
      </x:c>
      <x:c r="I29" s="73"/>
      <x:c r="J29" s="74">
        <x:v>3000</x:v>
      </x:c>
      <x:c r="K29" s="74"/>
      <x:c r="L29" s="18" t="str">
        <x:f t="shared" si="0"/>
        <x:v>No Dollars and No Cents</x:v>
      </x:c>
      <x:c r="M29" s="87"/>
      <x:c r="N29" s="71"/>
      <x:c r="O29" s="71" t="s">
        <x:v>36</x:v>
      </x:c>
      <x:c r="P29" s="71" t="s">
        <x:v>37</x:v>
      </x:c>
      <x:c r="Q29" s="71"/>
      <x:c r="R29" s="71"/>
      <x:c r="S29" s="72"/>
      <x:c r="T29" s="71" t="s">
        <x:v>39</x:v>
      </x:c>
      <x:c r="U29" s="71" t="s">
        <x:v>40</x:v>
      </x:c>
    </x:row>
    <x:row r="30" spans="1:29" s="38" customFormat="1" x14ac:dyDescent="0.2">
      <x:c r="A30" s="71" t="s">
        <x:v>191</x:v>
      </x:c>
      <x:c r="B30" s="72" t="s">
        <x:v>192</x:v>
      </x:c>
      <x:c r="C30" s="71" t="s">
        <x:v>193</x:v>
      </x:c>
      <x:c r="D30" s="71" t="s">
        <x:v>194</x:v>
      </x:c>
      <x:c r="E30" s="79" t="s">
        <x:v>195</x:v>
      </x:c>
      <x:c r="F30" s="71"/>
      <x:c r="G30" s="71" t="s">
        <x:v>196</x:v>
      </x:c>
      <x:c r="H30" s="80">
        <x:v>33301</x:v>
      </x:c>
      <x:c r="I30" s="73"/>
      <x:c r="J30" s="74">
        <x:v>20000</x:v>
      </x:c>
      <x:c r="K30" s="74"/>
      <x:c r="L30" s="18" t="str">
        <x:f t="shared" si="0"/>
        <x:v>No Dollars and No Cents</x:v>
      </x:c>
      <x:c r="M30" s="87">
        <x:v>43993</x:v>
      </x:c>
      <x:c r="N30" s="91" t="s">
        <x:v>168</x:v>
      </x:c>
      <x:c r="O30" s="91" t="s">
        <x:v>36</x:v>
      </x:c>
      <x:c r="P30" s="91" t="s">
        <x:v>37</x:v>
      </x:c>
      <x:c r="Q30" s="92">
        <x:v>44013</x:v>
      </x:c>
      <x:c r="R30" s="92">
        <x:v>44013</x:v>
      </x:c>
      <x:c r="S30" s="93" t="s">
        <x:v>38</x:v>
      </x:c>
      <x:c r="T30" s="91" t="s">
        <x:v>39</x:v>
      </x:c>
      <x:c r="U30" s="91" t="s">
        <x:v>40</x:v>
      </x:c>
      <x:c r="AA30" s="25"/>
    </x:row>
    <x:row r="31" spans="1:29" x14ac:dyDescent="0.25">
      <x:c r="A31" s="18" t="s">
        <x:v>197</x:v>
      </x:c>
      <x:c r="B31" s="19"/>
      <x:c r="C31" s="18" t="s">
        <x:v>198</x:v>
      </x:c>
      <x:c r="D31" s="18" t="s">
        <x:v>199</x:v>
      </x:c>
      <x:c r="E31" s="18" t="s">
        <x:v>200</x:v>
      </x:c>
      <x:c r="F31" s="18"/>
      <x:c r="G31" s="18" t="s">
        <x:v>201</x:v>
      </x:c>
      <x:c r="H31" s="18" t="s">
        <x:v>202</x:v>
      </x:c>
      <x:c r="I31" s="20"/>
      <x:c r="J31" s="21">
        <x:v>12500</x:v>
      </x:c>
      <x:c r="K31" s="21">
        <x:v>12500</x:v>
      </x:c>
      <x:c r="L31" s="18" t="str">
        <x:f t="shared" si="0"/>
        <x:v>Twelve Thousand Five Hundred  Dollars and No Cents</x:v>
      </x:c>
      <x:c r="M31" s="22"/>
      <x:c r="N31" s="23"/>
      <x:c r="O31" s="23" t="s">
        <x:v>36</x:v>
      </x:c>
      <x:c r="P31" s="23" t="s">
        <x:v>37</x:v>
      </x:c>
      <x:c r="Q31" s="23"/>
      <x:c r="R31" s="23"/>
      <x:c r="S31" s="24"/>
      <x:c r="T31" s="23" t="s">
        <x:v>39</x:v>
      </x:c>
      <x:c r="U31" s="23" t="s">
        <x:v>40</x:v>
      </x:c>
      <x:c r="AA31" s="38"/>
    </x:row>
    <x:row r="32" spans="1:29" x14ac:dyDescent="0.25">
      <x:c r="A32" s="71" t="s">
        <x:v>203</x:v>
      </x:c>
      <x:c r="B32" s="72" t="s">
        <x:v>204</x:v>
      </x:c>
      <x:c r="C32" s="71" t="s">
        <x:v>205</x:v>
      </x:c>
      <x:c r="D32" s="71" t="s">
        <x:v>206</x:v>
      </x:c>
      <x:c r="E32" s="71" t="s">
        <x:v>207</x:v>
      </x:c>
      <x:c r="F32" s="71"/>
      <x:c r="G32" s="71" t="s">
        <x:v>208</x:v>
      </x:c>
      <x:c r="H32" s="71" t="s">
        <x:v>209</x:v>
      </x:c>
      <x:c r="I32" s="73"/>
      <x:c r="J32" s="74">
        <x:v>2600</x:v>
      </x:c>
      <x:c r="K32" s="74"/>
      <x:c r="L32" s="18" t="str">
        <x:f t="shared" si="0"/>
        <x:v>No Dollars and No Cents</x:v>
      </x:c>
      <x:c r="M32" s="87"/>
      <x:c r="N32" s="71"/>
      <x:c r="O32" s="71" t="s">
        <x:v>36</x:v>
      </x:c>
      <x:c r="P32" s="71" t="s">
        <x:v>37</x:v>
      </x:c>
      <x:c r="Q32" s="71"/>
      <x:c r="R32" s="71"/>
      <x:c r="S32" s="72" t="s">
        <x:v>38</x:v>
      </x:c>
      <x:c r="T32" s="71" t="s">
        <x:v>39</x:v>
      </x:c>
      <x:c r="U32" s="71" t="s">
        <x:v>40</x:v>
      </x:c>
    </x:row>
    <x:row r="33" spans="1:27" x14ac:dyDescent="0.25">
      <x:c r="A33" s="18" t="s">
        <x:v>210</x:v>
      </x:c>
      <x:c r="B33" s="19" t="s">
        <x:v>211</x:v>
      </x:c>
      <x:c r="C33" s="18" t="s">
        <x:v>212</x:v>
      </x:c>
      <x:c r="D33" s="18" t="s">
        <x:v>213</x:v>
      </x:c>
      <x:c r="E33" s="18" t="s">
        <x:v>214</x:v>
      </x:c>
      <x:c r="F33" s="18"/>
      <x:c r="G33" s="18" t="s">
        <x:v>108</x:v>
      </x:c>
      <x:c r="H33" s="18" t="s">
        <x:v>215</x:v>
      </x:c>
      <x:c r="I33" s="20"/>
      <x:c r="J33" s="21">
        <x:v>6500</x:v>
      </x:c>
      <x:c r="K33" s="21">
        <x:v>5000</x:v>
      </x:c>
      <x:c r="L33" s="18" t="str">
        <x:f t="shared" si="0"/>
        <x:v>Five Thousand  Dollars and No Cents</x:v>
      </x:c>
      <x:c r="M33" s="22"/>
      <x:c r="N33" s="23" t="s">
        <x:v>373</x:v>
      </x:c>
      <x:c r="O33" s="23" t="s">
        <x:v>36</x:v>
      </x:c>
      <x:c r="P33" s="23" t="s">
        <x:v>37</x:v>
      </x:c>
      <x:c r="Q33" s="23"/>
      <x:c r="R33" s="23"/>
      <x:c r="S33" s="24"/>
      <x:c r="T33" s="23" t="s">
        <x:v>39</x:v>
      </x:c>
      <x:c r="U33" s="23" t="s">
        <x:v>40</x:v>
      </x:c>
    </x:row>
    <x:row r="34" spans="1:27" x14ac:dyDescent="0.25">
      <x:c r="A34" s="18" t="s">
        <x:v>216</x:v>
      </x:c>
      <x:c r="B34" s="19" t="s">
        <x:v>217</x:v>
      </x:c>
      <x:c r="C34" s="18" t="s">
        <x:v>218</x:v>
      </x:c>
      <x:c r="D34" s="18" t="s">
        <x:v>219</x:v>
      </x:c>
      <x:c r="E34" s="18" t="s">
        <x:v>220</x:v>
      </x:c>
      <x:c r="F34" s="18"/>
      <x:c r="G34" s="18" t="s">
        <x:v>221</x:v>
      </x:c>
      <x:c r="H34" s="18" t="s">
        <x:v>222</x:v>
      </x:c>
      <x:c r="I34" s="20"/>
      <x:c r="J34" s="21">
        <x:v>7500</x:v>
      </x:c>
      <x:c r="K34" s="21">
        <x:v>7500</x:v>
      </x:c>
      <x:c r="L34" s="18" t="str">
        <x:f t="shared" si="0"/>
        <x:v>Seven Thousand Five Hundred  Dollars and No Cents</x:v>
      </x:c>
      <x:c r="M34" s="22"/>
      <x:c r="N34" s="23"/>
      <x:c r="O34" s="23" t="s">
        <x:v>36</x:v>
      </x:c>
      <x:c r="P34" s="23" t="s">
        <x:v>37</x:v>
      </x:c>
      <x:c r="Q34" s="23"/>
      <x:c r="R34" s="23"/>
      <x:c r="S34" s="24"/>
      <x:c r="T34" s="23" t="s">
        <x:v>39</x:v>
      </x:c>
      <x:c r="U34" s="23" t="s">
        <x:v>40</x:v>
      </x:c>
    </x:row>
    <x:row r="35" spans="1:27" x14ac:dyDescent="0.25">
      <x:c r="A35" s="18" t="s">
        <x:v>223</x:v>
      </x:c>
      <x:c r="B35" s="19" t="s">
        <x:v>224</x:v>
      </x:c>
      <x:c r="C35" s="18" t="s">
        <x:v>225</x:v>
      </x:c>
      <x:c r="D35" s="18" t="s">
        <x:v>226</x:v>
      </x:c>
      <x:c r="E35" s="18" t="s">
        <x:v>227</x:v>
      </x:c>
      <x:c r="F35" s="18"/>
      <x:c r="G35" s="18" t="s">
        <x:v>62</x:v>
      </x:c>
      <x:c r="H35" s="18" t="s">
        <x:v>228</x:v>
      </x:c>
      <x:c r="I35" s="20"/>
      <x:c r="J35" s="21">
        <x:v>1000</x:v>
      </x:c>
      <x:c r="K35" s="21">
        <x:v>2000</x:v>
      </x:c>
      <x:c r="L35" s="18" t="str">
        <x:f t="shared" si="0"/>
        <x:v>Two Thousand  Dollars and No Cents</x:v>
      </x:c>
      <x:c r="M35" s="22"/>
      <x:c r="N35" s="23"/>
      <x:c r="O35" s="23" t="s">
        <x:v>36</x:v>
      </x:c>
      <x:c r="P35" s="23" t="s">
        <x:v>37</x:v>
      </x:c>
      <x:c r="Q35" s="23"/>
      <x:c r="R35" s="23"/>
      <x:c r="S35" s="24"/>
      <x:c r="T35" s="23" t="s">
        <x:v>39</x:v>
      </x:c>
      <x:c r="U35" s="23" t="s">
        <x:v>40</x:v>
      </x:c>
    </x:row>
    <x:row r="36" spans="1:27" x14ac:dyDescent="0.25">
      <x:c r="A36" s="71" t="s">
        <x:v>229</x:v>
      </x:c>
      <x:c r="B36" s="72"/>
      <x:c r="C36" s="71" t="s">
        <x:v>230</x:v>
      </x:c>
      <x:c r="D36" s="71" t="s">
        <x:v>231</x:v>
      </x:c>
      <x:c r="E36" s="71" t="s">
        <x:v>232</x:v>
      </x:c>
      <x:c r="F36" s="71"/>
      <x:c r="G36" s="71" t="s">
        <x:v>81</x:v>
      </x:c>
      <x:c r="H36" s="71">
        <x:v>21403</x:v>
      </x:c>
      <x:c r="I36" s="73"/>
      <x:c r="J36" s="74">
        <x:v>1500</x:v>
      </x:c>
      <x:c r="K36" s="74"/>
      <x:c r="L36" s="18" t="str">
        <x:f t="shared" si="0"/>
        <x:v>No Dollars and No Cents</x:v>
      </x:c>
      <x:c r="M36" s="87"/>
      <x:c r="N36" s="71"/>
      <x:c r="O36" s="71" t="s">
        <x:v>36</x:v>
      </x:c>
      <x:c r="P36" s="71" t="s">
        <x:v>37</x:v>
      </x:c>
      <x:c r="Q36" s="71"/>
      <x:c r="R36" s="71"/>
      <x:c r="S36" s="72" t="s">
        <x:v>38</x:v>
      </x:c>
      <x:c r="T36" s="71" t="s">
        <x:v>39</x:v>
      </x:c>
      <x:c r="U36" s="71" t="s">
        <x:v>40</x:v>
      </x:c>
    </x:row>
    <x:row r="37" spans="1:27" x14ac:dyDescent="0.25">
      <x:c r="A37" s="18" t="s">
        <x:v>233</x:v>
      </x:c>
      <x:c r="B37" s="19" t="s">
        <x:v>234</x:v>
      </x:c>
      <x:c r="C37" s="18" t="s">
        <x:v>235</x:v>
      </x:c>
      <x:c r="D37" s="18" t="s">
        <x:v>236</x:v>
      </x:c>
      <x:c r="E37" s="18" t="s">
        <x:v>237</x:v>
      </x:c>
      <x:c r="F37" s="18"/>
      <x:c r="G37" s="18" t="s">
        <x:v>47</x:v>
      </x:c>
      <x:c r="H37" s="18" t="s">
        <x:v>238</x:v>
      </x:c>
      <x:c r="I37" s="20"/>
      <x:c r="J37" s="21">
        <x:v>5500</x:v>
      </x:c>
      <x:c r="K37" s="21">
        <x:v>5500</x:v>
      </x:c>
      <x:c r="L37" s="18" t="str">
        <x:f t="shared" si="0"/>
        <x:v>Five Thousand Five Hundred  Dollars and No Cents</x:v>
      </x:c>
      <x:c r="M37" s="22"/>
      <x:c r="N37" s="23" t="s">
        <x:v>373</x:v>
      </x:c>
      <x:c r="O37" s="23" t="s">
        <x:v>36</x:v>
      </x:c>
      <x:c r="P37" s="23" t="s">
        <x:v>37</x:v>
      </x:c>
      <x:c r="Q37" s="23"/>
      <x:c r="R37" s="23"/>
      <x:c r="S37" s="24"/>
      <x:c r="T37" s="23" t="s">
        <x:v>39</x:v>
      </x:c>
      <x:c r="U37" s="23" t="s">
        <x:v>40</x:v>
      </x:c>
    </x:row>
    <x:row r="38" spans="1:27" x14ac:dyDescent="0.25">
      <x:c r="A38" s="71" t="s">
        <x:v>239</x:v>
      </x:c>
      <x:c r="B38" s="72" t="s">
        <x:v>240</x:v>
      </x:c>
      <x:c r="C38" s="71" t="s">
        <x:v>241</x:v>
      </x:c>
      <x:c r="D38" s="71" t="s">
        <x:v>242</x:v>
      </x:c>
      <x:c r="E38" s="71" t="s">
        <x:v>243</x:v>
      </x:c>
      <x:c r="F38" s="71"/>
      <x:c r="G38" s="71" t="s">
        <x:v>47</x:v>
      </x:c>
      <x:c r="H38" s="71" t="s">
        <x:v>244</x:v>
      </x:c>
      <x:c r="I38" s="73"/>
      <x:c r="J38" s="74">
        <x:v>5000</x:v>
      </x:c>
      <x:c r="K38" s="74"/>
      <x:c r="L38" s="18" t="str">
        <x:f t="shared" si="0"/>
        <x:v>No Dollars and No Cents</x:v>
      </x:c>
      <x:c r="M38" s="87"/>
      <x:c r="N38" s="71" t="s">
        <x:v>373</x:v>
      </x:c>
      <x:c r="O38" s="71" t="s">
        <x:v>36</x:v>
      </x:c>
      <x:c r="P38" s="71" t="s">
        <x:v>37</x:v>
      </x:c>
      <x:c r="Q38" s="71"/>
      <x:c r="R38" s="71"/>
      <x:c r="S38" s="72"/>
      <x:c r="T38" s="71" t="s">
        <x:v>39</x:v>
      </x:c>
      <x:c r="U38" s="71" t="s">
        <x:v>40</x:v>
      </x:c>
    </x:row>
    <x:row r="39" spans="1:27" x14ac:dyDescent="0.25">
      <x:c r="A39" s="18" t="s">
        <x:v>245</x:v>
      </x:c>
      <x:c r="B39" s="19" t="s">
        <x:v>246</x:v>
      </x:c>
      <x:c r="C39" s="18" t="s">
        <x:v>247</x:v>
      </x:c>
      <x:c r="D39" s="18" t="s">
        <x:v>248</x:v>
      </x:c>
      <x:c r="E39" s="18" t="s">
        <x:v>249</x:v>
      </x:c>
      <x:c r="F39" s="18"/>
      <x:c r="G39" s="18" t="s">
        <x:v>108</x:v>
      </x:c>
      <x:c r="H39" s="18" t="s">
        <x:v>250</x:v>
      </x:c>
      <x:c r="I39" s="20"/>
      <x:c r="J39" s="21">
        <x:v>1500</x:v>
      </x:c>
      <x:c r="K39" s="21">
        <x:v>1500</x:v>
      </x:c>
      <x:c r="L39" s="18" t="str">
        <x:f t="shared" si="0"/>
        <x:v>One Thousand Five Hundred  Dollars and No Cents</x:v>
      </x:c>
      <x:c r="M39" s="22"/>
      <x:c r="N39" s="23"/>
      <x:c r="O39" s="23" t="s">
        <x:v>36</x:v>
      </x:c>
      <x:c r="P39" s="23" t="s">
        <x:v>37</x:v>
      </x:c>
      <x:c r="Q39" s="23"/>
      <x:c r="R39" s="23"/>
      <x:c r="S39" s="24"/>
      <x:c r="T39" s="23" t="s">
        <x:v>39</x:v>
      </x:c>
      <x:c r="U39" s="23" t="s">
        <x:v>40</x:v>
      </x:c>
    </x:row>
    <x:row r="40" spans="1:27" x14ac:dyDescent="0.25">
      <x:c r="A40" s="18" t="s">
        <x:v>251</x:v>
      </x:c>
      <x:c r="B40" s="19" t="s">
        <x:v>252</x:v>
      </x:c>
      <x:c r="C40" s="18" t="s">
        <x:v>253</x:v>
      </x:c>
      <x:c r="D40" s="18" t="s">
        <x:v>254</x:v>
      </x:c>
      <x:c r="E40" s="18" t="s">
        <x:v>255</x:v>
      </x:c>
      <x:c r="F40" s="18" t="s">
        <x:v>256</x:v>
      </x:c>
      <x:c r="G40" s="18" t="s">
        <x:v>257</x:v>
      </x:c>
      <x:c r="H40" s="18" t="s">
        <x:v>258</x:v>
      </x:c>
      <x:c r="I40" s="20"/>
      <x:c r="J40" s="21">
        <x:v>2000</x:v>
      </x:c>
      <x:c r="K40" s="21">
        <x:v>1500</x:v>
      </x:c>
      <x:c r="L40" s="18" t="str">
        <x:f t="shared" si="0"/>
        <x:v>One Thousand Five Hundred  Dollars and No Cents</x:v>
      </x:c>
      <x:c r="M40" s="22"/>
      <x:c r="N40" s="23" t="s">
        <x:v>373</x:v>
      </x:c>
      <x:c r="O40" s="23" t="s">
        <x:v>36</x:v>
      </x:c>
      <x:c r="P40" s="23" t="s">
        <x:v>37</x:v>
      </x:c>
      <x:c r="Q40" s="23"/>
      <x:c r="R40" s="23"/>
      <x:c r="S40" s="24"/>
      <x:c r="T40" s="23" t="s">
        <x:v>39</x:v>
      </x:c>
      <x:c r="U40" s="23" t="s">
        <x:v>40</x:v>
      </x:c>
    </x:row>
    <x:row r="41" spans="1:27" x14ac:dyDescent="0.25">
      <x:c r="A41" s="18" t="s">
        <x:v>259</x:v>
      </x:c>
      <x:c r="B41" s="19" t="s">
        <x:v>260</x:v>
      </x:c>
      <x:c r="C41" s="18" t="s">
        <x:v>261</x:v>
      </x:c>
      <x:c r="D41" s="18" t="s">
        <x:v>262</x:v>
      </x:c>
      <x:c r="E41" s="18" t="s">
        <x:v>263</x:v>
      </x:c>
      <x:c r="F41" s="18"/>
      <x:c r="G41" s="18" t="s">
        <x:v>47</x:v>
      </x:c>
      <x:c r="H41" s="18" t="s">
        <x:v>264</x:v>
      </x:c>
      <x:c r="I41" s="20"/>
      <x:c r="J41" s="21">
        <x:v>3000</x:v>
      </x:c>
      <x:c r="K41" s="21"/>
      <x:c r="L41" s="18" t="str">
        <x:f t="shared" si="0"/>
        <x:v>No Dollars and No Cents</x:v>
      </x:c>
      <x:c r="M41" s="22"/>
      <x:c r="N41" s="23"/>
      <x:c r="O41" s="23" t="s">
        <x:v>36</x:v>
      </x:c>
      <x:c r="P41" s="23" t="s">
        <x:v>37</x:v>
      </x:c>
      <x:c r="Q41" s="23"/>
      <x:c r="R41" s="23"/>
      <x:c r="S41" s="24" t="s">
        <x:v>38</x:v>
      </x:c>
      <x:c r="T41" s="23" t="s">
        <x:v>39</x:v>
      </x:c>
      <x:c r="U41" s="23" t="s">
        <x:v>40</x:v>
      </x:c>
    </x:row>
    <x:row r="42" spans="1:27" x14ac:dyDescent="0.25">
      <x:c r="A42" s="67" t="s">
        <x:v>265</x:v>
      </x:c>
      <x:c r="B42" s="68" t="s">
        <x:v>266</x:v>
      </x:c>
      <x:c r="C42" s="67" t="s">
        <x:v>267</x:v>
      </x:c>
      <x:c r="D42" s="67" t="s">
        <x:v>268</x:v>
      </x:c>
      <x:c r="E42" s="67"/>
      <x:c r="F42" s="67"/>
      <x:c r="G42" s="67"/>
      <x:c r="H42" s="67"/>
      <x:c r="I42" s="69"/>
      <x:c r="J42" s="70">
        <x:v>2000</x:v>
      </x:c>
      <x:c r="K42" s="70"/>
      <x:c r="L42" s="18" t="str">
        <x:f t="shared" si="0"/>
        <x:v>No Dollars and No Cents</x:v>
      </x:c>
      <x:c r="M42" s="86"/>
      <x:c r="N42" s="67" t="s">
        <x:v>373</x:v>
      </x:c>
      <x:c r="O42" s="67" t="s">
        <x:v>36</x:v>
      </x:c>
      <x:c r="P42" s="67" t="s">
        <x:v>37</x:v>
      </x:c>
      <x:c r="Q42" s="67"/>
      <x:c r="R42" s="67"/>
      <x:c r="S42" s="68"/>
      <x:c r="T42" s="67" t="s">
        <x:v>39</x:v>
      </x:c>
      <x:c r="U42" s="67" t="s">
        <x:v>40</x:v>
      </x:c>
    </x:row>
    <x:row r="43" spans="1:27" x14ac:dyDescent="0.25">
      <x:c r="A43" s="75" t="s">
        <x:v>269</x:v>
      </x:c>
      <x:c r="B43" s="76" t="s">
        <x:v>270</x:v>
      </x:c>
      <x:c r="C43" s="75" t="s">
        <x:v>271</x:v>
      </x:c>
      <x:c r="D43" s="75" t="s">
        <x:v>272</x:v>
      </x:c>
      <x:c r="E43" s="75" t="s">
        <x:v>273</x:v>
      </x:c>
      <x:c r="F43" s="75"/>
      <x:c r="G43" s="75" t="s">
        <x:v>47</x:v>
      </x:c>
      <x:c r="H43" s="75" t="s">
        <x:v>274</x:v>
      </x:c>
      <x:c r="I43" s="77"/>
      <x:c r="J43" s="78">
        <x:v>3500</x:v>
      </x:c>
      <x:c r="K43" s="78">
        <x:v>5000</x:v>
      </x:c>
      <x:c r="L43" s="18" t="str">
        <x:f t="shared" si="0"/>
        <x:v>Five Thousand  Dollars and No Cents</x:v>
      </x:c>
      <x:c r="M43" s="88"/>
      <x:c r="N43" s="94"/>
      <x:c r="O43" s="94" t="s">
        <x:v>36</x:v>
      </x:c>
      <x:c r="P43" s="94" t="s">
        <x:v>37</x:v>
      </x:c>
      <x:c r="Q43" s="94"/>
      <x:c r="R43" s="94"/>
      <x:c r="S43" s="95"/>
      <x:c r="T43" s="94" t="s">
        <x:v>39</x:v>
      </x:c>
      <x:c r="U43" s="94" t="s">
        <x:v>40</x:v>
      </x:c>
    </x:row>
    <x:row r="44" spans="1:27" x14ac:dyDescent="0.25">
      <x:c r="A44" s="71" t="s">
        <x:v>275</x:v>
      </x:c>
      <x:c r="B44" s="72" t="s">
        <x:v>276</x:v>
      </x:c>
      <x:c r="C44" s="71" t="s">
        <x:v>277</x:v>
      </x:c>
      <x:c r="D44" s="71" t="s">
        <x:v>278</x:v>
      </x:c>
      <x:c r="E44" s="71" t="s">
        <x:v>279</x:v>
      </x:c>
      <x:c r="F44" s="71"/>
      <x:c r="G44" s="71" t="s">
        <x:v>47</x:v>
      </x:c>
      <x:c r="H44" s="71" t="s">
        <x:v>238</x:v>
      </x:c>
      <x:c r="I44" s="73"/>
      <x:c r="J44" s="74">
        <x:v>4500</x:v>
      </x:c>
      <x:c r="K44" s="74"/>
      <x:c r="L44" s="18" t="str">
        <x:f t="shared" si="0"/>
        <x:v>No Dollars and No Cents</x:v>
      </x:c>
      <x:c r="M44" s="87"/>
      <x:c r="N44" s="71" t="s">
        <x:v>373</x:v>
      </x:c>
      <x:c r="O44" s="71" t="s">
        <x:v>36</x:v>
      </x:c>
      <x:c r="P44" s="71" t="s">
        <x:v>37</x:v>
      </x:c>
      <x:c r="Q44" s="71"/>
      <x:c r="R44" s="71"/>
      <x:c r="S44" s="72"/>
      <x:c r="T44" s="71" t="s">
        <x:v>39</x:v>
      </x:c>
      <x:c r="U44" s="71" t="s">
        <x:v>40</x:v>
      </x:c>
    </x:row>
    <x:row r="45" spans="1:27" x14ac:dyDescent="0.25">
      <x:c r="A45" s="71" t="s">
        <x:v>280</x:v>
      </x:c>
      <x:c r="B45" s="72" t="s">
        <x:v>281</x:v>
      </x:c>
      <x:c r="C45" s="71" t="s">
        <x:v>282</x:v>
      </x:c>
      <x:c r="D45" s="71" t="s">
        <x:v>283</x:v>
      </x:c>
      <x:c r="E45" s="71" t="s">
        <x:v>284</x:v>
      </x:c>
      <x:c r="F45" s="71"/>
      <x:c r="G45" s="71" t="s">
        <x:v>285</x:v>
      </x:c>
      <x:c r="H45" s="71">
        <x:v>21701</x:v>
      </x:c>
      <x:c r="I45" s="73"/>
      <x:c r="J45" s="74">
        <x:v>500</x:v>
      </x:c>
      <x:c r="K45" s="74"/>
      <x:c r="L45" s="18" t="str">
        <x:f t="shared" si="0"/>
        <x:v>No Dollars and No Cents</x:v>
      </x:c>
      <x:c r="M45" s="87">
        <x:v>44138</x:v>
      </x:c>
      <x:c r="N45" s="71" t="s">
        <x:v>168</x:v>
      </x:c>
      <x:c r="O45" s="71" t="s">
        <x:v>36</x:v>
      </x:c>
      <x:c r="P45" s="71" t="s">
        <x:v>37</x:v>
      </x:c>
      <x:c r="Q45" s="71"/>
      <x:c r="R45" s="71"/>
      <x:c r="S45" s="72"/>
      <x:c r="T45" s="71"/>
      <x:c r="U45" s="71"/>
    </x:row>
    <x:row r="46" spans="1:27" s="38" customFormat="1" x14ac:dyDescent="0.25">
      <x:c r="A46" s="18" t="s">
        <x:v>286</x:v>
      </x:c>
      <x:c r="B46" s="19" t="s">
        <x:v>287</x:v>
      </x:c>
      <x:c r="C46" s="18" t="s">
        <x:v>288</x:v>
      </x:c>
      <x:c r="D46" s="18" t="s">
        <x:v>289</x:v>
      </x:c>
      <x:c r="E46" s="18" t="s">
        <x:v>290</x:v>
      </x:c>
      <x:c r="F46" s="18"/>
      <x:c r="G46" s="18" t="s">
        <x:v>291</x:v>
      </x:c>
      <x:c r="H46" s="18"/>
      <x:c r="I46" s="20"/>
      <x:c r="J46" s="21">
        <x:v>2500</x:v>
      </x:c>
      <x:c r="K46" s="21">
        <x:v>7000</x:v>
      </x:c>
      <x:c r="L46" s="18" t="str">
        <x:f t="shared" si="0"/>
        <x:v>Seven Thousand  Dollars and No Cents</x:v>
      </x:c>
      <x:c r="M46" s="22">
        <x:v>44075</x:v>
      </x:c>
      <x:c r="N46" s="35" t="s">
        <x:v>373</x:v>
      </x:c>
      <x:c r="O46" s="35" t="s">
        <x:v>36</x:v>
      </x:c>
      <x:c r="P46" s="35" t="s">
        <x:v>37</x:v>
      </x:c>
      <x:c r="Q46" s="35"/>
      <x:c r="R46" s="35"/>
      <x:c r="S46" s="37"/>
      <x:c r="T46" s="35" t="s">
        <x:v>39</x:v>
      </x:c>
      <x:c r="U46" s="35" t="s">
        <x:v>40</x:v>
      </x:c>
      <x:c r="AA46" s="25"/>
    </x:row>
    <x:row r="47" spans="1:27" s="38" customFormat="1" x14ac:dyDescent="0.25">
      <x:c r="A47" s="75" t="s">
        <x:v>292</x:v>
      </x:c>
      <x:c r="B47" s="76" t="s">
        <x:v>293</x:v>
      </x:c>
      <x:c r="C47" s="75" t="s">
        <x:v>294</x:v>
      </x:c>
      <x:c r="D47" s="75"/>
      <x:c r="E47" s="75" t="s">
        <x:v>295</x:v>
      </x:c>
      <x:c r="F47" s="75"/>
      <x:c r="G47" s="75" t="s">
        <x:v>123</x:v>
      </x:c>
      <x:c r="H47" s="81">
        <x:v>20910</x:v>
      </x:c>
      <x:c r="I47" s="77"/>
      <x:c r="J47" s="78">
        <x:v>1000</x:v>
      </x:c>
      <x:c r="K47" s="78">
        <x:v>1000</x:v>
      </x:c>
      <x:c r="L47" s="18" t="str">
        <x:f t="shared" si="0"/>
        <x:v>One Thousand  Dollars and No Cents</x:v>
      </x:c>
      <x:c r="M47" s="88">
        <x:v>43966</x:v>
      </x:c>
      <x:c r="N47" s="96" t="s">
        <x:v>168</x:v>
      </x:c>
      <x:c r="O47" s="96" t="s">
        <x:v>36</x:v>
      </x:c>
      <x:c r="P47" s="96" t="s">
        <x:v>37</x:v>
      </x:c>
      <x:c r="Q47" s="96"/>
      <x:c r="R47" s="96"/>
      <x:c r="S47" s="97"/>
      <x:c r="T47" s="96" t="s">
        <x:v>39</x:v>
      </x:c>
      <x:c r="U47" s="96" t="s">
        <x:v>40</x:v>
      </x:c>
    </x:row>
    <x:row r="48" spans="1:27" x14ac:dyDescent="0.25">
      <x:c r="A48" s="18" t="s">
        <x:v>296</x:v>
      </x:c>
      <x:c r="B48" s="19" t="s">
        <x:v>297</x:v>
      </x:c>
      <x:c r="C48" s="18" t="s">
        <x:v>298</x:v>
      </x:c>
      <x:c r="D48" s="18" t="s">
        <x:v>299</x:v>
      </x:c>
      <x:c r="E48" s="18" t="s">
        <x:v>300</x:v>
      </x:c>
      <x:c r="F48" s="18"/>
      <x:c r="G48" s="18" t="s">
        <x:v>47</x:v>
      </x:c>
      <x:c r="H48" s="18" t="s">
        <x:v>301</x:v>
      </x:c>
      <x:c r="I48" s="20"/>
      <x:c r="J48" s="21">
        <x:v>3500</x:v>
      </x:c>
      <x:c r="K48" s="21">
        <x:v>3500</x:v>
      </x:c>
      <x:c r="L48" s="18" t="str">
        <x:f t="shared" si="0"/>
        <x:v>Three Thousand Five Hundred  Dollars and No Cents</x:v>
      </x:c>
      <x:c r="M48" s="22"/>
      <x:c r="N48" s="23"/>
      <x:c r="O48" s="23" t="s">
        <x:v>36</x:v>
      </x:c>
      <x:c r="P48" s="23" t="s">
        <x:v>37</x:v>
      </x:c>
      <x:c r="Q48" s="23"/>
      <x:c r="R48" s="23"/>
      <x:c r="S48" s="24" t="s">
        <x:v>38</x:v>
      </x:c>
      <x:c r="T48" s="23" t="s">
        <x:v>39</x:v>
      </x:c>
      <x:c r="U48" s="23" t="s">
        <x:v>40</x:v>
      </x:c>
      <x:c r="AA48" s="38"/>
    </x:row>
    <x:row r="49" spans="1:27" x14ac:dyDescent="0.25">
      <x:c r="A49" s="18" t="s">
        <x:v>302</x:v>
      </x:c>
      <x:c r="B49" s="19" t="s">
        <x:v>303</x:v>
      </x:c>
      <x:c r="C49" s="18" t="s">
        <x:v>304</x:v>
      </x:c>
      <x:c r="D49" s="18" t="s">
        <x:v>305</x:v>
      </x:c>
      <x:c r="E49" s="18" t="s">
        <x:v>306</x:v>
      </x:c>
      <x:c r="F49" s="18"/>
      <x:c r="G49" s="18" t="s">
        <x:v>108</x:v>
      </x:c>
      <x:c r="H49" s="18" t="s">
        <x:v>307</x:v>
      </x:c>
      <x:c r="I49" s="20"/>
      <x:c r="J49" s="21">
        <x:v>4000</x:v>
      </x:c>
      <x:c r="K49" s="21">
        <x:v>4000</x:v>
      </x:c>
      <x:c r="L49" s="18" t="str">
        <x:f t="shared" si="0"/>
        <x:v>Four Thousand  Dollars and No Cents</x:v>
      </x:c>
      <x:c r="M49" s="22"/>
      <x:c r="N49" s="23"/>
      <x:c r="O49" s="23" t="s">
        <x:v>36</x:v>
      </x:c>
      <x:c r="P49" s="23" t="s">
        <x:v>37</x:v>
      </x:c>
      <x:c r="Q49" s="23"/>
      <x:c r="R49" s="23"/>
      <x:c r="S49" s="24"/>
      <x:c r="T49" s="23" t="s">
        <x:v>39</x:v>
      </x:c>
      <x:c r="U49" s="23" t="s">
        <x:v>40</x:v>
      </x:c>
    </x:row>
    <x:row r="50" spans="1:27" s="34" customFormat="1" x14ac:dyDescent="0.25">
      <x:c r="A50" s="18" t="s">
        <x:v>308</x:v>
      </x:c>
      <x:c r="B50" s="19" t="s">
        <x:v>309</x:v>
      </x:c>
      <x:c r="C50" s="18" t="s">
        <x:v>310</x:v>
      </x:c>
      <x:c r="D50" s="18" t="s">
        <x:v>311</x:v>
      </x:c>
      <x:c r="E50" s="18" t="s">
        <x:v>312</x:v>
      </x:c>
      <x:c r="F50" s="18"/>
      <x:c r="G50" s="18" t="s">
        <x:v>313</x:v>
      </x:c>
      <x:c r="H50" s="18" t="s">
        <x:v>314</x:v>
      </x:c>
      <x:c r="I50" s="20"/>
      <x:c r="J50" s="21">
        <x:v>12831</x:v>
      </x:c>
      <x:c r="K50" s="21">
        <x:v>12831</x:v>
      </x:c>
      <x:c r="L50" s="18" t="str">
        <x:f t="shared" si="0"/>
        <x:v>Twelve Thousand Eight Hundred Thirty One Dollars and No Cents</x:v>
      </x:c>
      <x:c r="M50" s="22">
        <x:v>43936</x:v>
      </x:c>
      <x:c r="N50" s="32" t="s">
        <x:v>168</x:v>
      </x:c>
      <x:c r="O50" s="32" t="s">
        <x:v>36</x:v>
      </x:c>
      <x:c r="P50" s="32" t="s">
        <x:v>37</x:v>
      </x:c>
      <x:c r="Q50" s="39">
        <x:v>44013</x:v>
      </x:c>
      <x:c r="R50" s="39">
        <x:v>44013</x:v>
      </x:c>
      <x:c r="S50" s="33"/>
      <x:c r="T50" s="32" t="s">
        <x:v>39</x:v>
      </x:c>
      <x:c r="U50" s="32" t="s">
        <x:v>40</x:v>
      </x:c>
      <x:c r="AA50" s="25"/>
    </x:row>
    <x:row r="51" spans="1:27" s="38" customFormat="1" ht="30" x14ac:dyDescent="0.25">
      <x:c r="A51" s="75" t="s">
        <x:v>315</x:v>
      </x:c>
      <x:c r="B51" s="76" t="s">
        <x:v>316</x:v>
      </x:c>
      <x:c r="C51" s="75" t="s">
        <x:v>317</x:v>
      </x:c>
      <x:c r="D51" s="75" t="s">
        <x:v>318</x:v>
      </x:c>
      <x:c r="E51" s="75" t="s">
        <x:v>319</x:v>
      </x:c>
      <x:c r="F51" s="75"/>
      <x:c r="G51" s="75" t="s">
        <x:v>115</x:v>
      </x:c>
      <x:c r="H51" s="75" t="s">
        <x:v>116</x:v>
      </x:c>
      <x:c r="I51" s="77" t="s">
        <x:v>320</x:v>
      </x:c>
      <x:c r="J51" s="78">
        <x:v>41500</x:v>
      </x:c>
      <x:c r="K51" s="78">
        <x:v>41500</x:v>
      </x:c>
      <x:c r="L51" s="18" t="str">
        <x:f t="shared" si="0"/>
        <x:v>Forty One Thousand Five Hundred  Dollars and No Cents</x:v>
      </x:c>
      <x:c r="M51" s="88">
        <x:v>43837</x:v>
      </x:c>
      <x:c r="N51" s="96" t="s">
        <x:v>168</x:v>
      </x:c>
      <x:c r="O51" s="96" t="s">
        <x:v>36</x:v>
      </x:c>
      <x:c r="P51" s="96" t="s">
        <x:v>37</x:v>
      </x:c>
      <x:c r="Q51" s="98">
        <x:v>43868</x:v>
      </x:c>
      <x:c r="R51" s="98">
        <x:v>43868</x:v>
      </x:c>
      <x:c r="S51" s="97"/>
      <x:c r="T51" s="96" t="s">
        <x:v>39</x:v>
      </x:c>
      <x:c r="U51" s="96" t="s">
        <x:v>40</x:v>
      </x:c>
      <x:c r="AA51" s="34"/>
    </x:row>
    <x:row r="52" spans="1:27" x14ac:dyDescent="0.25">
      <x:c r="A52" s="18" t="s">
        <x:v>321</x:v>
      </x:c>
      <x:c r="B52" s="19" t="s">
        <x:v>322</x:v>
      </x:c>
      <x:c r="C52" s="18" t="s">
        <x:v>323</x:v>
      </x:c>
      <x:c r="D52" s="18" t="s">
        <x:v>324</x:v>
      </x:c>
      <x:c r="E52" s="18" t="s">
        <x:v>325</x:v>
      </x:c>
      <x:c r="F52" s="18"/>
      <x:c r="G52" s="18" t="s">
        <x:v>326</x:v>
      </x:c>
      <x:c r="H52" s="18" t="s">
        <x:v>327</x:v>
      </x:c>
      <x:c r="I52" s="20" t="s">
        <x:v>328</x:v>
      </x:c>
      <x:c r="J52" s="21">
        <x:v>6000</x:v>
      </x:c>
      <x:c r="K52" s="21"/>
      <x:c r="L52" s="18" t="str">
        <x:f t="shared" si="0"/>
        <x:v>No Dollars and No Cents</x:v>
      </x:c>
      <x:c r="M52" s="22"/>
      <x:c r="N52" s="23" t="s">
        <x:v>373</x:v>
      </x:c>
      <x:c r="O52" s="23" t="s">
        <x:v>36</x:v>
      </x:c>
      <x:c r="P52" s="23" t="s">
        <x:v>37</x:v>
      </x:c>
      <x:c r="Q52" s="23"/>
      <x:c r="R52" s="23"/>
      <x:c r="S52" s="24" t="s">
        <x:v>38</x:v>
      </x:c>
      <x:c r="T52" s="23" t="s">
        <x:v>39</x:v>
      </x:c>
      <x:c r="U52" s="23" t="s">
        <x:v>40</x:v>
      </x:c>
      <x:c r="AA52" s="38"/>
    </x:row>
    <x:row r="53" spans="1:27" x14ac:dyDescent="0.25">
      <x:c r="A53" s="18" t="s">
        <x:v>329</x:v>
      </x:c>
      <x:c r="B53" s="19" t="s">
        <x:v>330</x:v>
      </x:c>
      <x:c r="C53" s="18" t="s">
        <x:v>331</x:v>
      </x:c>
      <x:c r="D53" s="18" t="s">
        <x:v>332</x:v>
      </x:c>
      <x:c r="E53" s="18" t="s">
        <x:v>333</x:v>
      </x:c>
      <x:c r="F53" s="18"/>
      <x:c r="G53" s="18" t="s">
        <x:v>47</x:v>
      </x:c>
      <x:c r="H53" s="18" t="s">
        <x:v>334</x:v>
      </x:c>
      <x:c r="I53" s="20"/>
      <x:c r="J53" s="21">
        <x:v>12000</x:v>
      </x:c>
      <x:c r="K53" s="21">
        <x:v>15000</x:v>
      </x:c>
      <x:c r="L53" s="18" t="str">
        <x:f t="shared" si="0"/>
        <x:v>Fifteen Thousand  Dollars and No Cents</x:v>
      </x:c>
      <x:c r="M53" s="22"/>
      <x:c r="N53" s="23" t="s">
        <x:v>373</x:v>
      </x:c>
      <x:c r="O53" s="23" t="s">
        <x:v>36</x:v>
      </x:c>
      <x:c r="P53" s="23" t="s">
        <x:v>37</x:v>
      </x:c>
      <x:c r="Q53" s="23"/>
      <x:c r="R53" s="23"/>
      <x:c r="S53" s="24"/>
      <x:c r="T53" s="23" t="s">
        <x:v>39</x:v>
      </x:c>
      <x:c r="U53" s="23" t="s">
        <x:v>40</x:v>
      </x:c>
    </x:row>
    <x:row r="54" spans="1:27" x14ac:dyDescent="0.25">
      <x:c r="A54" s="18" t="s">
        <x:v>335</x:v>
      </x:c>
      <x:c r="B54" s="19" t="s">
        <x:v>336</x:v>
      </x:c>
      <x:c r="C54" s="18" t="s">
        <x:v>337</x:v>
      </x:c>
      <x:c r="D54" s="18" t="s">
        <x:v>338</x:v>
      </x:c>
      <x:c r="E54" s="18" t="s">
        <x:v>339</x:v>
      </x:c>
      <x:c r="F54" s="18"/>
      <x:c r="G54" s="18" t="s">
        <x:v>47</x:v>
      </x:c>
      <x:c r="H54" s="18" t="s">
        <x:v>340</x:v>
      </x:c>
      <x:c r="I54" s="20"/>
      <x:c r="J54" s="21"/>
      <x:c r="K54" s="21">
        <x:v>15000</x:v>
      </x:c>
      <x:c r="L54" s="18" t="str">
        <x:f t="shared" si="0"/>
        <x:v>Fifteen Thousand  Dollars and No Cents</x:v>
      </x:c>
      <x:c r="M54" s="22"/>
      <x:c r="N54" s="23"/>
      <x:c r="O54" s="23" t="s">
        <x:v>36</x:v>
      </x:c>
      <x:c r="P54" s="23" t="s">
        <x:v>37</x:v>
      </x:c>
      <x:c r="Q54" s="23"/>
      <x:c r="R54" s="23"/>
      <x:c r="S54" s="24"/>
      <x:c r="T54" s="23" t="s">
        <x:v>39</x:v>
      </x:c>
      <x:c r="U54" s="23" t="s">
        <x:v>40</x:v>
      </x:c>
    </x:row>
    <x:row r="55" spans="1:27" x14ac:dyDescent="0.25">
      <x:c r="A55" s="18" t="s">
        <x:v>341</x:v>
      </x:c>
      <x:c r="B55" s="19" t="s">
        <x:v>342</x:v>
      </x:c>
      <x:c r="C55" s="18" t="s">
        <x:v>343</x:v>
      </x:c>
      <x:c r="D55" s="18" t="s">
        <x:v>344</x:v>
      </x:c>
      <x:c r="E55" s="18" t="s">
        <x:v>345</x:v>
      </x:c>
      <x:c r="F55" s="18"/>
      <x:c r="G55" s="18" t="s">
        <x:v>47</x:v>
      </x:c>
      <x:c r="H55" s="18" t="s">
        <x:v>346</x:v>
      </x:c>
      <x:c r="I55" s="20"/>
      <x:c r="J55" s="21">
        <x:v>1500</x:v>
      </x:c>
      <x:c r="K55" s="21">
        <x:v>1500</x:v>
      </x:c>
      <x:c r="L55" s="18" t="str">
        <x:f t="shared" si="0"/>
        <x:v>One Thousand Five Hundred  Dollars and No Cents</x:v>
      </x:c>
      <x:c r="M55" s="22"/>
      <x:c r="N55" s="23"/>
      <x:c r="O55" s="23" t="s">
        <x:v>36</x:v>
      </x:c>
      <x:c r="P55" s="23" t="s">
        <x:v>37</x:v>
      </x:c>
      <x:c r="Q55" s="23"/>
      <x:c r="R55" s="23"/>
      <x:c r="S55" s="24"/>
      <x:c r="T55" s="23" t="s">
        <x:v>39</x:v>
      </x:c>
      <x:c r="U55" s="23" t="s">
        <x:v>40</x:v>
      </x:c>
    </x:row>
    <x:row r="56" spans="1:27" x14ac:dyDescent="0.25">
      <x:c r="A56" s="82" t="s">
        <x:v>347</x:v>
      </x:c>
      <x:c r="B56" s="83" t="s">
        <x:v>348</x:v>
      </x:c>
      <x:c r="C56" s="82" t="s">
        <x:v>372</x:v>
      </x:c>
      <x:c r="D56" s="82" t="s">
        <x:v>349</x:v>
      </x:c>
      <x:c r="E56" s="82" t="s">
        <x:v>350</x:v>
      </x:c>
      <x:c r="F56" s="82"/>
      <x:c r="G56" s="82" t="s">
        <x:v>115</x:v>
      </x:c>
      <x:c r="H56" s="82" t="s">
        <x:v>116</x:v>
      </x:c>
      <x:c r="I56" s="84"/>
      <x:c r="J56" s="85">
        <x:v>25000</x:v>
      </x:c>
      <x:c r="K56" s="85">
        <x:v>25000</x:v>
      </x:c>
      <x:c r="L56" s="18" t="str">
        <x:f t="shared" si="0"/>
        <x:v>Twenty Five Thousand  Dollars and No Cents</x:v>
      </x:c>
      <x:c r="M56" s="99"/>
      <x:c r="N56" s="100"/>
      <x:c r="O56" s="100" t="s">
        <x:v>36</x:v>
      </x:c>
      <x:c r="P56" s="100" t="s">
        <x:v>37</x:v>
      </x:c>
      <x:c r="Q56" s="100"/>
      <x:c r="R56" s="100"/>
      <x:c r="S56" s="101"/>
      <x:c r="T56" s="100" t="s">
        <x:v>39</x:v>
      </x:c>
      <x:c r="U56" s="100" t="s">
        <x:v>40</x:v>
      </x:c>
    </x:row>
    <x:row r="57" spans="1:27" x14ac:dyDescent="0.25">
      <x:c r="A57" s="71" t="s">
        <x:v>351</x:v>
      </x:c>
      <x:c r="B57" s="72" t="s">
        <x:v>352</x:v>
      </x:c>
      <x:c r="C57" s="71"/>
      <x:c r="D57" s="71" t="str">
        <x:f t="shared" si="1"/>
        <x:v/>
      </x:c>
      <x:c r="E57" s="71"/>
      <x:c r="F57" s="71"/>
      <x:c r="G57" s="71"/>
      <x:c r="H57" s="71"/>
      <x:c r="I57" s="73"/>
      <x:c r="J57" s="74">
        <x:v>5000</x:v>
      </x:c>
      <x:c r="K57" s="74"/>
      <x:c r="L57" s="18" t="str">
        <x:f t="shared" si="0"/>
        <x:v>No Dollars and No Cents</x:v>
      </x:c>
      <x:c r="M57" s="87"/>
      <x:c r="N57" s="71"/>
      <x:c r="O57" s="71" t="s">
        <x:v>36</x:v>
      </x:c>
      <x:c r="P57" s="71" t="s">
        <x:v>37</x:v>
      </x:c>
      <x:c r="Q57" s="71"/>
      <x:c r="R57" s="71"/>
      <x:c r="S57" s="72"/>
      <x:c r="T57" s="71" t="s">
        <x:v>39</x:v>
      </x:c>
      <x:c r="U57" s="71" t="s">
        <x:v>40</x:v>
      </x:c>
    </x:row>
    <x:row r="58" spans="1:27" x14ac:dyDescent="0.25">
      <x:c r="A58" s="18" t="s">
        <x:v>353</x:v>
      </x:c>
      <x:c r="B58" s="19" t="s">
        <x:v>354</x:v>
      </x:c>
      <x:c r="C58" s="18"/>
      <x:c r="D58" s="18" t="str">
        <x:f t="shared" si="1"/>
        <x:v/>
      </x:c>
      <x:c r="E58" s="18"/>
      <x:c r="F58" s="18"/>
      <x:c r="G58" s="18"/>
      <x:c r="H58" s="18"/>
      <x:c r="I58" s="20"/>
      <x:c r="J58" s="21">
        <x:v>3075</x:v>
      </x:c>
      <x:c r="K58" s="21">
        <x:v>3000</x:v>
      </x:c>
      <x:c r="L58" s="18" t="str">
        <x:f t="shared" si="0"/>
        <x:v>Three Thousand  Dollars and No Cents</x:v>
      </x:c>
      <x:c r="M58" s="22"/>
      <x:c r="N58" s="23" t="s">
        <x:v>373</x:v>
      </x:c>
      <x:c r="O58" s="23" t="s">
        <x:v>36</x:v>
      </x:c>
      <x:c r="P58" s="23" t="s">
        <x:v>37</x:v>
      </x:c>
      <x:c r="Q58" s="23"/>
      <x:c r="R58" s="23"/>
      <x:c r="S58" s="24" t="s">
        <x:v>38</x:v>
      </x:c>
      <x:c r="T58" s="23" t="s">
        <x:v>39</x:v>
      </x:c>
      <x:c r="U58" s="23" t="s">
        <x:v>40</x:v>
      </x:c>
    </x:row>
    <x:row r="59" spans="1:27" x14ac:dyDescent="0.25">
      <x:c r="J59" s="43"/>
    </x:row>
    <x:row r="60" spans="1:27" x14ac:dyDescent="0.25">
      <x:c r="J60" s="47">
        <x:f>SUM(J4:J59)</x:f>
        <x:v>322256</x:v>
      </x:c>
      <x:c r="K60" s="47">
        <x:f>SUM(K4:K59)</x:f>
        <x:v>253831</x:v>
      </x:c>
      <x:c r="L60" s="48">
        <x:f>J60-K60</x:f>
        <x:v>68425</x:v>
      </x:c>
    </x:row>
    <x:row r="61" spans="1:27" ht="75" x14ac:dyDescent="0.25">
      <x:c r="J61" s="49" t="s">
        <x:v>355</x:v>
      </x:c>
      <x:c r="K61" s="47"/>
      <x:c r="L61" s="50"/>
    </x:row>
    <x:row r="62" spans="1:27" x14ac:dyDescent="0.25">
      <x:c r="A62" s="51"/>
      <x:c r="J62" s="43"/>
    </x:row>
    <x:row r="63" spans="1:27" x14ac:dyDescent="0.25">
      <x:c r="A63" s="51"/>
      <x:c r="J63" s="43"/>
    </x:row>
    <x:row r="66" spans="1:1" x14ac:dyDescent="0.25">
      <x:c r="A66" s="51"/>
    </x:row>
    <x:row r="67" spans="1:1" x14ac:dyDescent="0.25">
      <x:c r="A67" s="51"/>
    </x:row>
    <x:row r="68" spans="1:1" x14ac:dyDescent="0.25">
      <x:c r="A68" s="51"/>
    </x:row>
  </x:sheetData>
  <x:sheetProtection insertRows="0"/>
  <x:protectedRanges>
    <x:protectedRange password="DE73" sqref="A4:U59" name="Range1"/>
  </x:protectedRanges>
  <x:autoFilter ref="A3:AD3" xr:uid="{00000000-0009-0000-0000-00000A000000}"/>
  <x:mergeCells count="1">
    <x:mergeCell ref="B1:C2"/>
  </x:mergeCells>
  <x:dataValidations count="1">
    <x:dataValidation type="list" allowBlank="1" showInputMessage="1" showErrorMessage="1" errorTitle="Error" error="Please select Yes/No from the drop down list" sqref="N4:N60" xr:uid="{00000000-0002-0000-0A00-000000000000}">
      <x:formula1>$N$1:$N$2</x:formula1>
    </x:dataValidation>
  </x:dataValidations>
  <x:pageMargins left="0.7" right="0.7" top="0.75" bottom="0.75" header="0.3" footer="0.3"/>
</x: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2020</vt:lpstr>
      <vt:lpstr>2021</vt:lpstr>
      <vt:lpstr>2022</vt:lpstr>
      <vt:lpstr>2023</vt:lpstr>
      <vt:lpstr>2024</vt:lpstr>
      <vt:lpstr>2025</vt:lpstr>
      <vt:lpstr>2026</vt:lpstr>
      <vt:lpstr>2027</vt:lpstr>
      <vt:lpstr>2028</vt:lpstr>
      <vt:lpstr>2029</vt:lpstr>
      <vt:lpstr>2030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1900-01-01T05:00:00Z</cp:lastPrinted>
  <dcterms:created xsi:type="dcterms:W3CDTF">1900-01-01T05:00:00Z</dcterms:created>
  <dcterms:modified xsi:type="dcterms:W3CDTF">1900-01-01T05:00:00Z</dcterms:modified>
</cp:coreProperties>
</file>